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/>
  <mc:AlternateContent xmlns:mc="http://schemas.openxmlformats.org/markup-compatibility/2006">
    <mc:Choice Requires="x15">
      <x15ac:absPath xmlns:x15ac="http://schemas.microsoft.com/office/spreadsheetml/2010/11/ac" url="/Users/johnathanrolfo/Downloads/"/>
    </mc:Choice>
  </mc:AlternateContent>
  <xr:revisionPtr revIDLastSave="0" documentId="13_ncr:1_{51F1472B-D4DF-7A4D-86EC-1A1585A7BD8C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CHEDULE" sheetId="1" r:id="rId1"/>
    <sheet name="FACILITY LAYOUT" sheetId="2" r:id="rId2"/>
    <sheet name="STS ORDER RELEASE" sheetId="3" r:id="rId3"/>
    <sheet name="SHIFTS" sheetId="4" state="hidden" r:id="rId4"/>
    <sheet name="Sheet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9" i="1" l="1"/>
  <c r="E118" i="1"/>
  <c r="E116" i="1"/>
  <c r="C113" i="1" l="1"/>
  <c r="C112" i="1"/>
  <c r="W24" i="1" l="1"/>
  <c r="W22" i="1"/>
  <c r="W23" i="1" s="1"/>
  <c r="W21" i="1"/>
  <c r="L23" i="2" l="1"/>
  <c r="L22" i="2"/>
  <c r="L21" i="2"/>
  <c r="L20" i="2"/>
  <c r="L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tc={E7DD71FB-B658-4D47-8F27-27803DABEFF5}</author>
    <author>tc={3212F349-96AB-6B4B-B842-B57ADAB80E2C}</author>
    <author>tc={D444BAD5-C79D-4345-8C65-8F8A97345A09}</author>
    <author>tc={D7DFB69D-0D10-6640-AEBE-CF8FD9105EA7}</author>
    <author>tc={17BF99DA-9030-E84C-971C-E7B59CF5D17C}</author>
    <author>tc={425403BA-6640-924F-9064-EAA3081DED40}</author>
    <author>tc={1AC071E5-B27C-6648-9006-162DC82B14EB}</author>
    <author>tc={0FA799C0-7E11-6442-9118-23E1E5957084}</author>
    <author>tc={55757541-3944-9044-B729-2EFC6BA5C32E}</author>
    <author>tc={664EF517-697F-2344-AE8D-CBD8D9E47017}</author>
    <author>tc={5DB9EA6F-1469-3F40-8D1D-3B639004CDE8}</author>
    <author>tc={A3E1CB89-2E5A-4D41-8858-FB6BE9FAD673}</author>
  </authors>
  <commentList>
    <comment ref="B6" authorId="0" shapeId="0" xr:uid="{E7DD71FB-B658-4D47-8F27-27803DABEFF5}">
      <text>
        <t>[Threaded comment]
Your version of Excel allows you to read this threaded comment; however, any edits to it will get removed if the file is opened in a newer version of Excel. Learn more: https://go.microsoft.com/fwlink/?linkid=870924
Comment:
    Vessel Name from Order</t>
      </text>
    </comment>
    <comment ref="C6" authorId="1" shapeId="0" xr:uid="{3212F349-96AB-6B4B-B842-B57ADAB80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 from order</t>
      </text>
    </comment>
    <comment ref="D6" authorId="2" shapeId="0" xr:uid="{D444BAD5-C79D-4345-8C65-8F8A97345A0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EMPTY or LOAD</t>
      </text>
    </comment>
    <comment ref="E6" authorId="3" shapeId="0" xr:uid="{D7DFB69D-0D10-6640-AEBE-CF8FD9105EA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Input</t>
      </text>
    </comment>
    <comment ref="F6" authorId="4" shapeId="0" xr:uid="{17BF99DA-9030-E84C-971C-E7B59CF5D17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Input</t>
      </text>
    </comment>
    <comment ref="G6" authorId="5" shapeId="0" xr:uid="{425403BA-6640-924F-9064-EAA3081DED4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Input</t>
      </text>
    </comment>
    <comment ref="H6" authorId="6" shapeId="0" xr:uid="{1AC071E5-B27C-6648-9006-162DC82B14EB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OPTIONS
IN-PROGRESS
IN QUEUE # 
COMPLETED</t>
      </text>
    </comment>
    <comment ref="I6" authorId="7" shapeId="0" xr:uid="{0FA799C0-7E11-6442-9118-23E1E595708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for Work</t>
      </text>
    </comment>
    <comment ref="J6" authorId="8" shapeId="0" xr:uid="{55757541-3944-9044-B729-2EFC6BA5C32E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/ No</t>
      </text>
    </comment>
    <comment ref="K6" authorId="9" shapeId="0" xr:uid="{664EF517-697F-2344-AE8D-CBD8D9E470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Make this a Drop Down menu where services can be selected from the products menu. </t>
      </text>
    </comment>
    <comment ref="L6" authorId="10" shapeId="0" xr:uid="{5DB9EA6F-1469-3F40-8D1D-3B639004CDE8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/ No</t>
      </text>
    </comment>
    <comment ref="M6" authorId="11" shapeId="0" xr:uid="{A3E1CB89-2E5A-4D41-8858-FB6BE9FAD67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Comments from Order Card</t>
      </text>
    </comment>
  </commentList>
</comments>
</file>

<file path=xl/sharedStrings.xml><?xml version="1.0" encoding="utf-8"?>
<sst xmlns="http://schemas.openxmlformats.org/spreadsheetml/2006/main" count="818" uniqueCount="294">
  <si>
    <t> </t>
  </si>
  <si>
    <t>CHANNEL MARINE SERVICES</t>
  </si>
  <si>
    <t>PLEASE CHECK THE DRIP PANS, MAKE SURE ALL DRAIN VALVES ARE CLOSED, ALL SCUPPER PLUGS ARE IN PLACE, AND CARGO HATCH COVERS ARE CLOSED BEFORE RELEASING.</t>
  </si>
  <si>
    <t>CLEANINGS</t>
  </si>
  <si>
    <t>Barge #</t>
  </si>
  <si>
    <t>Dock</t>
  </si>
  <si>
    <t>MTY/LD</t>
  </si>
  <si>
    <t>Prior Cargo</t>
  </si>
  <si>
    <t>Next Cargo</t>
  </si>
  <si>
    <t>Current Location</t>
  </si>
  <si>
    <t>Status</t>
  </si>
  <si>
    <t>Work Date</t>
  </si>
  <si>
    <t>OT</t>
  </si>
  <si>
    <t>Type of Cleaning/Orders</t>
  </si>
  <si>
    <t>Req. 3rd Party Inspector</t>
  </si>
  <si>
    <t>Priority / Comments</t>
  </si>
  <si>
    <t>CBC 114</t>
  </si>
  <si>
    <t>BDOCK</t>
  </si>
  <si>
    <t>MTY</t>
  </si>
  <si>
    <t>YUB4</t>
  </si>
  <si>
    <t>P60</t>
  </si>
  <si>
    <t>STS</t>
  </si>
  <si>
    <t>yes</t>
  </si>
  <si>
    <t>STRIP + SQUEEGEE / CWW ceilings/floors per Chris</t>
  </si>
  <si>
    <t>YES</t>
  </si>
  <si>
    <t xml:space="preserve">CBC INSPECTOR RELEASE // RELEASE TO Sts  </t>
  </si>
  <si>
    <t>NO</t>
  </si>
  <si>
    <t>GOOD STRIP</t>
  </si>
  <si>
    <t>LUBE</t>
  </si>
  <si>
    <t>IN-BOUND</t>
  </si>
  <si>
    <t>SLF</t>
  </si>
  <si>
    <t>NM 1034</t>
  </si>
  <si>
    <t xml:space="preserve">STRIP + SQUEEGEE  </t>
  </si>
  <si>
    <t xml:space="preserve">MOTIVA TO INSPECT </t>
  </si>
  <si>
    <t>MAINTENANCE</t>
  </si>
  <si>
    <t>Prior / Current Cargo</t>
  </si>
  <si>
    <t>Current Location / ETA</t>
  </si>
  <si>
    <t>ETC</t>
  </si>
  <si>
    <t>Maintenance / Cleaning Orders</t>
  </si>
  <si>
    <t>Comments</t>
  </si>
  <si>
    <t>HFL 433</t>
  </si>
  <si>
    <t>SLIP</t>
  </si>
  <si>
    <t>LCO</t>
  </si>
  <si>
    <t>TBN</t>
  </si>
  <si>
    <t>DISCHARGING</t>
  </si>
  <si>
    <t>REPLACE RADIATOR</t>
  </si>
  <si>
    <t>CRANE LIFT</t>
  </si>
  <si>
    <t>MV Joey Anderson</t>
  </si>
  <si>
    <t>ULSD</t>
  </si>
  <si>
    <t xml:space="preserve">TBD </t>
  </si>
  <si>
    <t>HOSE TEST</t>
  </si>
  <si>
    <t xml:space="preserve">NO </t>
  </si>
  <si>
    <t>EMAIL MARGE THE CERTS.</t>
  </si>
  <si>
    <t>STEAMING</t>
  </si>
  <si>
    <t>Cargo</t>
  </si>
  <si>
    <t>Target Temp</t>
  </si>
  <si>
    <t>Discharge Dock</t>
  </si>
  <si>
    <t>BARGE TO BARGE TRANSFER</t>
  </si>
  <si>
    <t>Sender / Receiver</t>
  </si>
  <si>
    <t>BTB Date</t>
  </si>
  <si>
    <t>Transfer Orders</t>
  </si>
  <si>
    <t>COMPLETED / READY TO INVOICE</t>
  </si>
  <si>
    <t>/</t>
  </si>
  <si>
    <t>DBL 313</t>
  </si>
  <si>
    <t>FLEET</t>
  </si>
  <si>
    <t>LD</t>
  </si>
  <si>
    <t>TBA</t>
  </si>
  <si>
    <t>NA</t>
  </si>
  <si>
    <t>INVOICE 1603 // SENT 5/19</t>
  </si>
  <si>
    <t>CHANGE OUT WINCH CABLE'S</t>
  </si>
  <si>
    <t>3 ARE COMPLETED WAITING ON FLEET BOAT TO MOVE IT TO THE SLIP</t>
  </si>
  <si>
    <t>WEB 124</t>
  </si>
  <si>
    <t>B-Dock</t>
  </si>
  <si>
    <t xml:space="preserve">MTY </t>
  </si>
  <si>
    <t>Prima 220</t>
  </si>
  <si>
    <t>Prima 60</t>
  </si>
  <si>
    <t>B-dock</t>
  </si>
  <si>
    <t>INVOICE 1619// SENT 5/19</t>
  </si>
  <si>
    <t>STRIP &amp; SQUEEGEE // VTC &amp; CORGO PIPLINE TEST</t>
  </si>
  <si>
    <t>MOTIVA LOSS PREVENTION REQUIRED BEFORE RELEASE CALL BLESSEY DISPATCH FOR HP TO MOVE 504.734.1156</t>
  </si>
  <si>
    <t>EMS 318</t>
  </si>
  <si>
    <t>R100</t>
  </si>
  <si>
    <t>TBD</t>
  </si>
  <si>
    <t>EN ROUTE [ETA 5/10 0600 HRS]</t>
  </si>
  <si>
    <t>INVOICE 1622//ON HOLD FOR APROVAL 5/14</t>
  </si>
  <si>
    <t xml:space="preserve">SLF + BD </t>
  </si>
  <si>
    <t>EMS 373</t>
  </si>
  <si>
    <t>JET FUEL</t>
  </si>
  <si>
    <t>INVOICE 1621//ON HOLD FOR APPROVL 5/14</t>
  </si>
  <si>
    <t>EMS 374</t>
  </si>
  <si>
    <t>INVOICE 1620//ON HOLD FOR APPROVAL 5/14</t>
  </si>
  <si>
    <t>WEB 134</t>
  </si>
  <si>
    <t>PRIMA 60 STAR 12</t>
  </si>
  <si>
    <t>INVOICE 1628// SENT 5/19</t>
  </si>
  <si>
    <t>STRIP + SQUEEGEE</t>
  </si>
  <si>
    <t>WEB 354</t>
  </si>
  <si>
    <t>INVOICE 1630// SENT 5/19</t>
  </si>
  <si>
    <t>SNIFF TEST</t>
  </si>
  <si>
    <t>EMS 392</t>
  </si>
  <si>
    <t>EN ROUTE STS</t>
  </si>
  <si>
    <t>INVOICE 1627 // SENT 5/19</t>
  </si>
  <si>
    <t>PULL SLOP TANKS</t>
  </si>
  <si>
    <t>EMS 393</t>
  </si>
  <si>
    <t>TOLUENE</t>
  </si>
  <si>
    <t>INVOICE 1625 // SENT  5/19</t>
  </si>
  <si>
    <t>REPAIR SIGHT GLASS + VTC</t>
  </si>
  <si>
    <t>WEB 337</t>
  </si>
  <si>
    <t>AROMATIC CONCENTRATE</t>
  </si>
  <si>
    <t>EN ROUTE [ETA 5/16 0300/0400 HRS]</t>
  </si>
  <si>
    <t>INVOICE 1626// SENT 5/19</t>
  </si>
  <si>
    <t>WEB 348</t>
  </si>
  <si>
    <t>EMS 363</t>
  </si>
  <si>
    <t>MTBE</t>
  </si>
  <si>
    <t>LT ATM GAS OIL</t>
  </si>
  <si>
    <t>INVOICE 1631// SENT 5/22</t>
  </si>
  <si>
    <t>STRIP LIQUID FREE + VTC</t>
  </si>
  <si>
    <t>EMS 372</t>
  </si>
  <si>
    <t>INVOICE 1632// SENT 5/22</t>
  </si>
  <si>
    <t>WEB 332T</t>
  </si>
  <si>
    <t>HEAVY NAPHTHA</t>
  </si>
  <si>
    <t>INVOICE 1633// SENT 5/22</t>
  </si>
  <si>
    <t>WEB 336</t>
  </si>
  <si>
    <t>CBC 7027</t>
  </si>
  <si>
    <t>INVOICE 1643// SENT 6/17</t>
  </si>
  <si>
    <t>AM SPEC TO TREAT</t>
  </si>
  <si>
    <t>CBC 314</t>
  </si>
  <si>
    <t>CBC 374</t>
  </si>
  <si>
    <t>EMS 385</t>
  </si>
  <si>
    <t>MGO</t>
  </si>
  <si>
    <t>INVOICE 1662 // SENT6/17</t>
  </si>
  <si>
    <t>STRIP SLOP TANKS</t>
  </si>
  <si>
    <t>MV Nathan P (985) 232-8259 / PO#532586</t>
  </si>
  <si>
    <t>EMS 530</t>
  </si>
  <si>
    <t>INVOICE 1653// SENT 6/9</t>
  </si>
  <si>
    <t>MV Nathan P (985) 232-8259 / PO#532587</t>
  </si>
  <si>
    <t>HFL 421</t>
  </si>
  <si>
    <t>CAT NAPHTHA</t>
  </si>
  <si>
    <t>PIPELINE TEST + VALVE WORK IF NEEDED</t>
  </si>
  <si>
    <t>Ray Carralles &amp; Tracey for any questions</t>
  </si>
  <si>
    <t>EMS397</t>
  </si>
  <si>
    <t>STRATEGIC</t>
  </si>
  <si>
    <t>INVOICE 1663// SENT 6/9</t>
  </si>
  <si>
    <t>STRIP/LIQID FREE</t>
  </si>
  <si>
    <t xml:space="preserve">M/V CY 985-855-9881  </t>
  </si>
  <si>
    <t>EMS529</t>
  </si>
  <si>
    <t>INVOICE 1655// SENT 6/9</t>
  </si>
  <si>
    <t>HOSE 74362-3</t>
  </si>
  <si>
    <t>HTEST</t>
  </si>
  <si>
    <t>NAPTHA</t>
  </si>
  <si>
    <t>CMS</t>
  </si>
  <si>
    <t>INVOICE 1696 // SENT 7/1</t>
  </si>
  <si>
    <t>CLEAN AND TEST</t>
  </si>
  <si>
    <t xml:space="preserve"> CALL CANAL READINESS</t>
  </si>
  <si>
    <t>LUBE OIL</t>
  </si>
  <si>
    <t>INVOICE 1693 //SENT 7/1</t>
  </si>
  <si>
    <t>STRIP LIQUID FREE, AND SQUEEGEE</t>
  </si>
  <si>
    <t>MOTIVA LC TO INSPECT(409)989-3484</t>
  </si>
  <si>
    <t>CCL 423T</t>
  </si>
  <si>
    <t>ETHANOL</t>
  </si>
  <si>
    <t>INVOICE 1694// SENT 7/1</t>
  </si>
  <si>
    <t>EMS 375 &amp; 316</t>
  </si>
  <si>
    <t>INVOICE 1695// SENT 7/1</t>
  </si>
  <si>
    <t>TEST HOSE</t>
  </si>
  <si>
    <t>CCL423</t>
  </si>
  <si>
    <t>CROSSOVER HOSE PACKAGE// PAPERWORK MISSING</t>
  </si>
  <si>
    <t>JEFF CHANDLER TO DELIVER MID MORNING 281-986-7600</t>
  </si>
  <si>
    <t>CCL 407</t>
  </si>
  <si>
    <t>N/A</t>
  </si>
  <si>
    <t>INVOICE 1698// SENT 7/1</t>
  </si>
  <si>
    <t>MAINTENANCE TO LOOK AT STERN</t>
  </si>
  <si>
    <t>STATEGIC</t>
  </si>
  <si>
    <t>HWDW,SLF,SBD // GAS FREE</t>
  </si>
  <si>
    <t>RELEASE TO STS WHEN DONE</t>
  </si>
  <si>
    <t>CCL 420</t>
  </si>
  <si>
    <t>HWDW,SLF,SBD</t>
  </si>
  <si>
    <t>CHEM 3254</t>
  </si>
  <si>
    <t>DBS</t>
  </si>
  <si>
    <t>SLF + VTC</t>
  </si>
  <si>
    <t>LOAD DATE 6/27 - XOM</t>
  </si>
  <si>
    <t>CHEM 4501</t>
  </si>
  <si>
    <t>CCL 403</t>
  </si>
  <si>
    <t>INVOICE 1700// SENT 7/1</t>
  </si>
  <si>
    <t>XOM</t>
  </si>
  <si>
    <t>CCL403</t>
  </si>
  <si>
    <t>MV JW BANTA // Must be completed by 7/2 @2300hrrs</t>
  </si>
  <si>
    <t>CCL 423</t>
  </si>
  <si>
    <t>SBD + VTC</t>
  </si>
  <si>
    <t>CCL 424</t>
  </si>
  <si>
    <t>LIGHT NAPTHA</t>
  </si>
  <si>
    <t>SLF + VTC WASH DECK</t>
  </si>
  <si>
    <t>M/V FRANK BANTA JR</t>
  </si>
  <si>
    <t>CCL404</t>
  </si>
  <si>
    <t>DBL 323</t>
  </si>
  <si>
    <t>SLF + VTC + VTT SOAP TEST</t>
  </si>
  <si>
    <t>SOAP TEST ALL AREAS</t>
  </si>
  <si>
    <t>HOSE HTX051426-5</t>
  </si>
  <si>
    <t>POV55</t>
  </si>
  <si>
    <t>CLEAN HOSE</t>
  </si>
  <si>
    <t>PLEASE SEND CLEANING CERTIFICATE AND RELEASE TO nightops@canalbarge.com</t>
  </si>
  <si>
    <t>SOAP TEST ALL AREAS CRANE LIFT</t>
  </si>
  <si>
    <t>KEY</t>
  </si>
  <si>
    <t>NOT INVOICED</t>
  </si>
  <si>
    <t>PENDING DOCS/HOLD</t>
  </si>
  <si>
    <t>INVOICED</t>
  </si>
  <si>
    <t>SCHEDULE DOCK #2:</t>
  </si>
  <si>
    <t>Order</t>
  </si>
  <si>
    <t>Barge Name</t>
  </si>
  <si>
    <t>Dock #2 / #3</t>
  </si>
  <si>
    <t>Not</t>
  </si>
  <si>
    <t>In Service</t>
  </si>
  <si>
    <t>Spacer Barge</t>
  </si>
  <si>
    <t>SCHEDULE DOCK #1:</t>
  </si>
  <si>
    <t>DOCK #1</t>
  </si>
  <si>
    <t>MOVE</t>
  </si>
  <si>
    <t>SHIFT BOAT</t>
  </si>
  <si>
    <t>OUTBOUND</t>
  </si>
  <si>
    <t>STS SHIFT</t>
  </si>
  <si>
    <t>INBOUND</t>
  </si>
  <si>
    <t>PLEASE SHIFT</t>
  </si>
  <si>
    <t>Team 1</t>
  </si>
  <si>
    <t>SUPERVISOR</t>
  </si>
  <si>
    <t>Team Leader</t>
  </si>
  <si>
    <t>Yander</t>
  </si>
  <si>
    <t>Mike</t>
  </si>
  <si>
    <t>Cleaning Tech</t>
  </si>
  <si>
    <t>Daniel</t>
  </si>
  <si>
    <t>Jorge</t>
  </si>
  <si>
    <t>PIC</t>
  </si>
  <si>
    <t>Anthony</t>
  </si>
  <si>
    <t>Adam</t>
  </si>
  <si>
    <t xml:space="preserve">Team 2 </t>
  </si>
  <si>
    <t>Yainel</t>
  </si>
  <si>
    <t>Landon</t>
  </si>
  <si>
    <t xml:space="preserve">Rediel </t>
  </si>
  <si>
    <t>Hector</t>
  </si>
  <si>
    <t>Bryan A</t>
  </si>
  <si>
    <t>Jack</t>
  </si>
  <si>
    <t xml:space="preserve">Team 3 </t>
  </si>
  <si>
    <t>Ron</t>
  </si>
  <si>
    <t>Brian (ex. RBF)</t>
  </si>
  <si>
    <t>Chris</t>
  </si>
  <si>
    <t>Denzel</t>
  </si>
  <si>
    <t>Kyle (Currenlty Fitting)</t>
  </si>
  <si>
    <t>Nate</t>
  </si>
  <si>
    <t>INVOICE 1654 //REQUIRES JOHN INPUT SPECIAL SERVICE  6/8  SENT</t>
  </si>
  <si>
    <t>CHEM 3243</t>
  </si>
  <si>
    <t>NAPHTHA</t>
  </si>
  <si>
    <t>DISCHRAGING</t>
  </si>
  <si>
    <t>PAPERWORK COMPLETE</t>
  </si>
  <si>
    <t>WEB 339</t>
  </si>
  <si>
    <t>WEB 339, 354</t>
  </si>
  <si>
    <t>BM071123-440B</t>
  </si>
  <si>
    <t>INVOICE 1713//AWAITING APPROVAL 7/9</t>
  </si>
  <si>
    <t>WEB 329</t>
  </si>
  <si>
    <t>ALKLATE</t>
  </si>
  <si>
    <t>STRIP SLOP TANK</t>
  </si>
  <si>
    <t>WEB 347</t>
  </si>
  <si>
    <t>CHEM 3206</t>
  </si>
  <si>
    <t>CHEM 3709</t>
  </si>
  <si>
    <t>IN-QUEUE-4</t>
  </si>
  <si>
    <t>IN-QUEUE-5</t>
  </si>
  <si>
    <t>SEARIVER</t>
  </si>
  <si>
    <t>CWW + SLF + BD + VTC</t>
  </si>
  <si>
    <t>INVOICE 1704 // SENT 7/9</t>
  </si>
  <si>
    <t>INVOICE 1703 // SENT 7/9</t>
  </si>
  <si>
    <t>INVOICE 1702 // SENT 7/9</t>
  </si>
  <si>
    <t>INVOICE 1705 // SENT 7/9</t>
  </si>
  <si>
    <t>INVOICE 1706//AWAITING APPROVAL 7/7 (Removed Pail of Degreaser included in deck wash)</t>
  </si>
  <si>
    <t>INVOICE 1697 // SENT 7/9 (MSR didn’t mention HWDW)</t>
  </si>
  <si>
    <t>INVOICE 1699 // SENT 7/9 (MSR didn’t mention HWDW)</t>
  </si>
  <si>
    <t>INVOICE 1709 // SENT 7/9</t>
  </si>
  <si>
    <t>INVOICE 1707 // SENT 7/9</t>
  </si>
  <si>
    <t>INVOICE 1708 //  SENT 7/9</t>
  </si>
  <si>
    <t>INVOICE 1710 // SENT 7/9</t>
  </si>
  <si>
    <t>INVOICE 1714 //  SENT 7/9</t>
  </si>
  <si>
    <t>INVOICE 1712 // SENT 7/9</t>
  </si>
  <si>
    <t>INVOICE 1711 // SENT 7/9</t>
  </si>
  <si>
    <t>INCLUDED ON INV 1708 // SENT 7/9</t>
  </si>
  <si>
    <t>COMPLETE/WAITING PAPERWORK</t>
  </si>
  <si>
    <t>CBC 1330</t>
  </si>
  <si>
    <t>CLEAN</t>
  </si>
  <si>
    <t>SLF-SUMPS</t>
  </si>
  <si>
    <t>MOTIVA TO INSPECT//RELEASE TO STS</t>
  </si>
  <si>
    <t>IN PROGRESS</t>
  </si>
  <si>
    <t>CCL 410</t>
  </si>
  <si>
    <t>CCL 411</t>
  </si>
  <si>
    <t>PT/VTT</t>
  </si>
  <si>
    <t>EMAIL PAPERWORK TO OFFICE</t>
  </si>
  <si>
    <t>COMPLETED/WAITING PAPERWORK</t>
  </si>
  <si>
    <t>Mty</t>
  </si>
  <si>
    <t>SLF SUMPS</t>
  </si>
  <si>
    <t>CANAL</t>
  </si>
  <si>
    <t>FUELD - 20260710-000156</t>
  </si>
  <si>
    <t>FUELD - 20260708-000140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</si>
</sst>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1"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</font>
    <font>
      <sz val="12"/>
      <name val="Aptos Narrow"/>
      <family val="2"/>
    </font>
    <font>
      <b/>
      <sz val="12"/>
      <name val="Book Antiqua"/>
      <family val="1"/>
    </font>
    <font>
      <b/>
      <sz val="12"/>
      <color rgb="FF000000"/>
      <name val="Book Antiqua"/>
      <family val="1"/>
    </font>
    <font>
      <sz val="12"/>
      <name val="Arial"/>
      <family val="2"/>
    </font>
    <font>
      <b/>
      <sz val="12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rgb="FFFF0000"/>
      <name val="Aptos Narrow"/>
    </font>
    <font>
      <b/>
      <sz val="9"/>
      <color rgb="FF000000"/>
      <name val="Book Antiqua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family val="2"/>
      <scheme val="minor"/>
    </font>
    <font>
      <sz val="12"/>
      <name val="Aptos Narrow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b/>
      <sz val="12"/>
      <color rgb="FFFF0000"/>
      <name val="Aptos"/>
    </font>
    <font>
      <sz val="10"/>
      <color rgb="FF000000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FEE59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D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579"/>
        <bgColor rgb="FF000000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70">
    <xf numFmtId="0" fontId="0" fillId="0" borderId="0" xfId="0"/>
    <xf numFmtId="0" fontId="2" fillId="2" borderId="4" xfId="0" applyFont="1" applyFill="1" applyBorder="1" applyAlignment="1">
      <alignment wrapText="1"/>
    </xf>
    <xf numFmtId="0" fontId="7" fillId="0" borderId="15" xfId="0" applyFont="1" applyBorder="1"/>
    <xf numFmtId="0" fontId="8" fillId="0" borderId="7" xfId="0" applyFont="1" applyBorder="1"/>
    <xf numFmtId="0" fontId="7" fillId="0" borderId="7" xfId="0" applyFont="1" applyBorder="1"/>
    <xf numFmtId="0" fontId="3" fillId="3" borderId="12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2" fillId="0" borderId="21" xfId="0" applyFont="1" applyBorder="1" applyAlignment="1">
      <alignment horizontal="center"/>
    </xf>
    <xf numFmtId="0" fontId="15" fillId="0" borderId="0" xfId="0" applyFont="1"/>
    <xf numFmtId="164" fontId="0" fillId="0" borderId="0" xfId="1" applyNumberFormat="1" applyFont="1"/>
    <xf numFmtId="0" fontId="15" fillId="6" borderId="0" xfId="0" applyFont="1" applyFill="1"/>
    <xf numFmtId="0" fontId="12" fillId="6" borderId="2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2" borderId="20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0" fillId="0" borderId="23" xfId="0" applyBorder="1"/>
    <xf numFmtId="0" fontId="16" fillId="9" borderId="23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wrapText="1"/>
    </xf>
    <xf numFmtId="0" fontId="7" fillId="0" borderId="7" xfId="0" applyFont="1" applyBorder="1" applyAlignment="1">
      <alignment horizontal="center" wrapText="1"/>
    </xf>
    <xf numFmtId="0" fontId="16" fillId="0" borderId="15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0" fillId="10" borderId="23" xfId="0" applyFill="1" applyBorder="1"/>
    <xf numFmtId="0" fontId="19" fillId="13" borderId="23" xfId="0" applyFont="1" applyFill="1" applyBorder="1" applyAlignment="1">
      <alignment horizontal="center"/>
    </xf>
    <xf numFmtId="0" fontId="0" fillId="14" borderId="23" xfId="0" applyFill="1" applyBorder="1"/>
    <xf numFmtId="0" fontId="0" fillId="13" borderId="0" xfId="0" applyFill="1"/>
    <xf numFmtId="0" fontId="12" fillId="6" borderId="23" xfId="0" applyFont="1" applyFill="1" applyBorder="1"/>
    <xf numFmtId="0" fontId="21" fillId="8" borderId="23" xfId="0" applyFont="1" applyFill="1" applyBorder="1"/>
    <xf numFmtId="0" fontId="20" fillId="15" borderId="23" xfId="0" applyFont="1" applyFill="1" applyBorder="1"/>
    <xf numFmtId="0" fontId="12" fillId="16" borderId="23" xfId="0" applyFont="1" applyFill="1" applyBorder="1"/>
    <xf numFmtId="0" fontId="0" fillId="17" borderId="23" xfId="0" applyFill="1" applyBorder="1"/>
    <xf numFmtId="0" fontId="0" fillId="6" borderId="23" xfId="0" applyFill="1" applyBorder="1"/>
    <xf numFmtId="0" fontId="0" fillId="18" borderId="23" xfId="0" applyFill="1" applyBorder="1"/>
    <xf numFmtId="0" fontId="12" fillId="6" borderId="23" xfId="0" applyFont="1" applyFill="1" applyBorder="1" applyAlignment="1">
      <alignment horizontal="center"/>
    </xf>
    <xf numFmtId="0" fontId="20" fillId="15" borderId="23" xfId="0" applyFont="1" applyFill="1" applyBorder="1" applyAlignment="1">
      <alignment horizontal="center"/>
    </xf>
    <xf numFmtId="0" fontId="12" fillId="16" borderId="23" xfId="0" applyFont="1" applyFill="1" applyBorder="1" applyAlignment="1">
      <alignment horizontal="center"/>
    </xf>
    <xf numFmtId="0" fontId="0" fillId="0" borderId="27" xfId="0" applyBorder="1" applyAlignment="1">
      <alignment horizontal="center" wrapText="1"/>
    </xf>
    <xf numFmtId="0" fontId="18" fillId="0" borderId="27" xfId="0" applyFont="1" applyBorder="1" applyAlignment="1">
      <alignment horizontal="center" wrapText="1"/>
    </xf>
    <xf numFmtId="14" fontId="0" fillId="0" borderId="27" xfId="0" applyNumberForma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2" fillId="19" borderId="4" xfId="0" applyFont="1" applyFill="1" applyBorder="1" applyAlignment="1">
      <alignment horizontal="center" wrapText="1"/>
    </xf>
    <xf numFmtId="0" fontId="2" fillId="19" borderId="4" xfId="0" applyFont="1" applyFill="1" applyBorder="1" applyAlignment="1">
      <alignment wrapText="1"/>
    </xf>
    <xf numFmtId="0" fontId="2" fillId="1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29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/>
    </xf>
    <xf numFmtId="0" fontId="17" fillId="12" borderId="27" xfId="0" applyFont="1" applyFill="1" applyBorder="1" applyAlignment="1">
      <alignment horizontal="center" wrapText="1"/>
    </xf>
    <xf numFmtId="0" fontId="0" fillId="12" borderId="27" xfId="0" applyFill="1" applyBorder="1" applyAlignment="1">
      <alignment horizontal="center" wrapText="1"/>
    </xf>
    <xf numFmtId="0" fontId="18" fillId="12" borderId="27" xfId="0" applyFont="1" applyFill="1" applyBorder="1" applyAlignment="1">
      <alignment horizontal="center" wrapText="1"/>
    </xf>
    <xf numFmtId="14" fontId="0" fillId="12" borderId="27" xfId="0" applyNumberFormat="1" applyFill="1" applyBorder="1" applyAlignment="1">
      <alignment horizontal="center" wrapText="1"/>
    </xf>
    <xf numFmtId="0" fontId="0" fillId="12" borderId="27" xfId="0" applyFill="1" applyBorder="1" applyAlignment="1">
      <alignment horizontal="center"/>
    </xf>
    <xf numFmtId="0" fontId="22" fillId="12" borderId="27" xfId="0" applyFont="1" applyFill="1" applyBorder="1" applyAlignment="1">
      <alignment horizontal="center" wrapText="1"/>
    </xf>
    <xf numFmtId="0" fontId="17" fillId="12" borderId="28" xfId="0" applyFont="1" applyFill="1" applyBorder="1" applyAlignment="1">
      <alignment horizontal="center" wrapText="1"/>
    </xf>
    <xf numFmtId="0" fontId="0" fillId="12" borderId="28" xfId="0" applyFill="1" applyBorder="1" applyAlignment="1">
      <alignment horizontal="center" wrapText="1"/>
    </xf>
    <xf numFmtId="14" fontId="0" fillId="12" borderId="28" xfId="0" applyNumberFormat="1" applyFill="1" applyBorder="1" applyAlignment="1">
      <alignment horizontal="center" wrapText="1"/>
    </xf>
    <xf numFmtId="0" fontId="18" fillId="12" borderId="28" xfId="0" applyFont="1" applyFill="1" applyBorder="1" applyAlignment="1">
      <alignment horizontal="center" wrapText="1"/>
    </xf>
    <xf numFmtId="0" fontId="0" fillId="12" borderId="28" xfId="0" applyFill="1" applyBorder="1" applyAlignment="1">
      <alignment horizontal="center"/>
    </xf>
    <xf numFmtId="0" fontId="16" fillId="12" borderId="27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0" fillId="12" borderId="33" xfId="0" applyFill="1" applyBorder="1" applyAlignment="1">
      <alignment horizontal="center" wrapText="1"/>
    </xf>
    <xf numFmtId="0" fontId="7" fillId="12" borderId="27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center" wrapText="1"/>
    </xf>
    <xf numFmtId="0" fontId="17" fillId="12" borderId="22" xfId="0" applyFont="1" applyFill="1" applyBorder="1" applyAlignment="1">
      <alignment horizontal="center" wrapText="1"/>
    </xf>
    <xf numFmtId="0" fontId="0" fillId="12" borderId="22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14" fontId="0" fillId="12" borderId="22" xfId="0" applyNumberFormat="1" applyFill="1" applyBorder="1" applyAlignment="1">
      <alignment horizontal="center" wrapText="1"/>
    </xf>
    <xf numFmtId="0" fontId="18" fillId="12" borderId="22" xfId="0" applyFont="1" applyFill="1" applyBorder="1" applyAlignment="1">
      <alignment horizontal="center" wrapText="1"/>
    </xf>
    <xf numFmtId="0" fontId="0" fillId="12" borderId="22" xfId="0" applyFill="1" applyBorder="1" applyAlignment="1">
      <alignment horizontal="center"/>
    </xf>
    <xf numFmtId="0" fontId="0" fillId="12" borderId="15" xfId="0" applyFill="1" applyBorder="1" applyAlignment="1">
      <alignment horizontal="center" wrapText="1"/>
    </xf>
    <xf numFmtId="0" fontId="17" fillId="12" borderId="27" xfId="0" applyFont="1" applyFill="1" applyBorder="1" applyAlignment="1">
      <alignment horizontal="center"/>
    </xf>
    <xf numFmtId="0" fontId="7" fillId="12" borderId="27" xfId="0" applyFont="1" applyFill="1" applyBorder="1" applyAlignment="1">
      <alignment horizontal="center" vertical="center" wrapText="1"/>
    </xf>
    <xf numFmtId="16" fontId="8" fillId="12" borderId="27" xfId="0" applyNumberFormat="1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/>
    </xf>
    <xf numFmtId="0" fontId="17" fillId="11" borderId="23" xfId="0" applyFont="1" applyFill="1" applyBorder="1" applyAlignment="1">
      <alignment horizontal="center"/>
    </xf>
    <xf numFmtId="0" fontId="17" fillId="12" borderId="23" xfId="0" applyFont="1" applyFill="1" applyBorder="1" applyAlignment="1">
      <alignment horizontal="center"/>
    </xf>
    <xf numFmtId="0" fontId="23" fillId="19" borderId="4" xfId="0" applyFont="1" applyFill="1" applyBorder="1" applyAlignment="1">
      <alignment horizontal="center" wrapText="1"/>
    </xf>
    <xf numFmtId="0" fontId="17" fillId="12" borderId="23" xfId="0" applyFont="1" applyFill="1" applyBorder="1" applyAlignment="1">
      <alignment horizontal="center" wrapText="1"/>
    </xf>
    <xf numFmtId="0" fontId="0" fillId="12" borderId="23" xfId="0" applyFill="1" applyBorder="1" applyAlignment="1">
      <alignment horizontal="center" wrapText="1"/>
    </xf>
    <xf numFmtId="0" fontId="18" fillId="12" borderId="23" xfId="0" applyFont="1" applyFill="1" applyBorder="1" applyAlignment="1">
      <alignment horizontal="center" wrapText="1"/>
    </xf>
    <xf numFmtId="14" fontId="0" fillId="12" borderId="23" xfId="0" applyNumberFormat="1" applyFill="1" applyBorder="1" applyAlignment="1">
      <alignment horizontal="center" wrapText="1"/>
    </xf>
    <xf numFmtId="16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17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3" fillId="3" borderId="29" xfId="0" applyFont="1" applyFill="1" applyBorder="1" applyAlignment="1">
      <alignment wrapText="1"/>
    </xf>
    <xf numFmtId="0" fontId="0" fillId="0" borderId="26" xfId="0" applyBorder="1"/>
    <xf numFmtId="0" fontId="9" fillId="0" borderId="34" xfId="0" applyFont="1" applyBorder="1" applyAlignment="1">
      <alignment horizontal="center" vertical="center"/>
    </xf>
    <xf numFmtId="0" fontId="17" fillId="11" borderId="23" xfId="0" applyFont="1" applyFill="1" applyBorder="1" applyAlignment="1">
      <alignment horizontal="center" wrapText="1"/>
    </xf>
    <xf numFmtId="0" fontId="0" fillId="11" borderId="23" xfId="0" applyFill="1" applyBorder="1" applyAlignment="1">
      <alignment horizontal="center" wrapText="1"/>
    </xf>
    <xf numFmtId="0" fontId="18" fillId="11" borderId="23" xfId="0" applyFont="1" applyFill="1" applyBorder="1" applyAlignment="1">
      <alignment horizontal="center" wrapText="1"/>
    </xf>
    <xf numFmtId="14" fontId="0" fillId="11" borderId="23" xfId="0" applyNumberFormat="1" applyFill="1" applyBorder="1" applyAlignment="1">
      <alignment horizontal="center" wrapText="1"/>
    </xf>
    <xf numFmtId="0" fontId="22" fillId="12" borderId="23" xfId="0" applyFont="1" applyFill="1" applyBorder="1" applyAlignment="1">
      <alignment horizontal="center" wrapText="1"/>
    </xf>
    <xf numFmtId="0" fontId="25" fillId="20" borderId="23" xfId="0" applyFont="1" applyFill="1" applyBorder="1" applyAlignment="1">
      <alignment horizontal="center" wrapText="1"/>
    </xf>
    <xf numFmtId="0" fontId="25" fillId="12" borderId="23" xfId="0" applyFont="1" applyFill="1" applyBorder="1" applyAlignment="1">
      <alignment horizontal="center" wrapText="1"/>
    </xf>
    <xf numFmtId="0" fontId="8" fillId="12" borderId="28" xfId="0" quotePrefix="1" applyFont="1" applyFill="1" applyBorder="1" applyAlignment="1">
      <alignment horizontal="left" vertical="center"/>
    </xf>
    <xf numFmtId="0" fontId="0" fillId="0" borderId="18" xfId="0" applyBorder="1" applyAlignment="1">
      <alignment horizontal="center" wrapText="1"/>
    </xf>
    <xf numFmtId="0" fontId="22" fillId="11" borderId="23" xfId="0" applyFont="1" applyFill="1" applyBorder="1" applyAlignment="1">
      <alignment horizontal="center" wrapText="1"/>
    </xf>
    <xf numFmtId="0" fontId="21" fillId="11" borderId="23" xfId="0" applyFont="1" applyFill="1" applyBorder="1" applyAlignment="1">
      <alignment horizontal="center"/>
    </xf>
    <xf numFmtId="0" fontId="24" fillId="11" borderId="23" xfId="0" applyFont="1" applyFill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5" fillId="21" borderId="10" xfId="0" applyFont="1" applyFill="1" applyBorder="1" applyAlignment="1">
      <alignment wrapText="1"/>
    </xf>
    <xf numFmtId="0" fontId="5" fillId="21" borderId="10" xfId="0" applyFont="1" applyFill="1" applyBorder="1" applyAlignment="1">
      <alignment horizontal="center" wrapText="1"/>
    </xf>
    <xf numFmtId="0" fontId="5" fillId="21" borderId="10" xfId="0" applyFont="1" applyFill="1" applyBorder="1" applyAlignment="1">
      <alignment horizontal="center" vertical="center" wrapText="1"/>
    </xf>
    <xf numFmtId="0" fontId="2" fillId="21" borderId="7" xfId="0" applyFont="1" applyFill="1" applyBorder="1" applyAlignment="1">
      <alignment wrapText="1"/>
    </xf>
    <xf numFmtId="0" fontId="2" fillId="21" borderId="0" xfId="0" applyFont="1" applyFill="1" applyAlignment="1">
      <alignment horizontal="center" wrapText="1"/>
    </xf>
    <xf numFmtId="16" fontId="0" fillId="0" borderId="23" xfId="0" applyNumberFormat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12" borderId="38" xfId="0" applyFont="1" applyFill="1" applyBorder="1" applyAlignment="1">
      <alignment horizontal="center" wrapText="1"/>
    </xf>
    <xf numFmtId="0" fontId="22" fillId="12" borderId="18" xfId="0" applyFont="1" applyFill="1" applyBorder="1" applyAlignment="1">
      <alignment horizontal="center" wrapText="1"/>
    </xf>
    <xf numFmtId="0" fontId="12" fillId="12" borderId="18" xfId="0" applyFont="1" applyFill="1" applyBorder="1" applyAlignment="1">
      <alignment horizontal="center" wrapText="1"/>
    </xf>
    <xf numFmtId="14" fontId="22" fillId="12" borderId="18" xfId="0" applyNumberFormat="1" applyFont="1" applyFill="1" applyBorder="1" applyAlignment="1">
      <alignment horizontal="center" wrapText="1"/>
    </xf>
    <xf numFmtId="0" fontId="26" fillId="12" borderId="18" xfId="0" applyFont="1" applyFill="1" applyBorder="1" applyAlignment="1">
      <alignment horizontal="center" wrapText="1"/>
    </xf>
    <xf numFmtId="0" fontId="22" fillId="12" borderId="50" xfId="0" applyFont="1" applyFill="1" applyBorder="1" applyAlignment="1">
      <alignment horizontal="center" wrapText="1"/>
    </xf>
    <xf numFmtId="0" fontId="12" fillId="12" borderId="15" xfId="0" applyFont="1" applyFill="1" applyBorder="1" applyAlignment="1">
      <alignment horizontal="center" wrapText="1"/>
    </xf>
    <xf numFmtId="14" fontId="0" fillId="12" borderId="15" xfId="0" applyNumberFormat="1" applyFill="1" applyBorder="1" applyAlignment="1">
      <alignment horizontal="center" wrapText="1"/>
    </xf>
    <xf numFmtId="0" fontId="25" fillId="12" borderId="27" xfId="0" applyFont="1" applyFill="1" applyBorder="1" applyAlignment="1">
      <alignment horizontal="center" wrapText="1"/>
    </xf>
    <xf numFmtId="0" fontId="17" fillId="12" borderId="27" xfId="0" quotePrefix="1" applyFont="1" applyFill="1" applyBorder="1" applyAlignment="1">
      <alignment horizontal="center"/>
    </xf>
    <xf numFmtId="0" fontId="27" fillId="12" borderId="27" xfId="0" applyFont="1" applyFill="1" applyBorder="1" applyAlignment="1">
      <alignment horizontal="center" wrapText="1"/>
    </xf>
    <xf numFmtId="0" fontId="26" fillId="12" borderId="27" xfId="0" applyFont="1" applyFill="1" applyBorder="1" applyAlignment="1">
      <alignment horizontal="center" wrapText="1"/>
    </xf>
    <xf numFmtId="0" fontId="0" fillId="12" borderId="39" xfId="0" applyFill="1" applyBorder="1" applyAlignment="1">
      <alignment horizontal="center" wrapText="1"/>
    </xf>
    <xf numFmtId="0" fontId="12" fillId="12" borderId="27" xfId="0" applyFont="1" applyFill="1" applyBorder="1" applyAlignment="1">
      <alignment horizontal="center" vertical="center" wrapText="1"/>
    </xf>
    <xf numFmtId="0" fontId="0" fillId="12" borderId="27" xfId="0" applyFill="1" applyBorder="1" applyAlignment="1">
      <alignment horizontal="center" vertical="center" wrapText="1"/>
    </xf>
    <xf numFmtId="14" fontId="0" fillId="12" borderId="27" xfId="0" applyNumberFormat="1" applyFill="1" applyBorder="1" applyAlignment="1">
      <alignment horizontal="center" vertical="center" wrapText="1"/>
    </xf>
    <xf numFmtId="0" fontId="0" fillId="12" borderId="27" xfId="0" applyFill="1" applyBorder="1" applyAlignment="1">
      <alignment horizontal="left" vertical="center" wrapText="1" indent="1"/>
    </xf>
    <xf numFmtId="0" fontId="12" fillId="12" borderId="35" xfId="0" applyFont="1" applyFill="1" applyBorder="1" applyAlignment="1">
      <alignment horizontal="center" wrapText="1"/>
    </xf>
    <xf numFmtId="0" fontId="0" fillId="12" borderId="36" xfId="0" applyFill="1" applyBorder="1" applyAlignment="1">
      <alignment horizontal="center" wrapText="1"/>
    </xf>
    <xf numFmtId="0" fontId="25" fillId="12" borderId="36" xfId="0" applyFont="1" applyFill="1" applyBorder="1" applyAlignment="1">
      <alignment horizontal="center" wrapText="1"/>
    </xf>
    <xf numFmtId="14" fontId="0" fillId="12" borderId="36" xfId="0" applyNumberFormat="1" applyFill="1" applyBorder="1" applyAlignment="1">
      <alignment horizontal="center" wrapText="1"/>
    </xf>
    <xf numFmtId="0" fontId="18" fillId="12" borderId="36" xfId="0" applyFont="1" applyFill="1" applyBorder="1" applyAlignment="1">
      <alignment horizontal="center" wrapText="1"/>
    </xf>
    <xf numFmtId="0" fontId="0" fillId="12" borderId="37" xfId="0" applyFill="1" applyBorder="1" applyAlignment="1">
      <alignment horizontal="center" wrapText="1"/>
    </xf>
    <xf numFmtId="0" fontId="12" fillId="22" borderId="27" xfId="0" applyFont="1" applyFill="1" applyBorder="1" applyAlignment="1">
      <alignment horizontal="center" wrapText="1"/>
    </xf>
    <xf numFmtId="0" fontId="0" fillId="11" borderId="23" xfId="0" applyFill="1" applyBorder="1" applyAlignment="1">
      <alignment horizontal="center" vertical="center" wrapText="1"/>
    </xf>
    <xf numFmtId="16" fontId="0" fillId="11" borderId="23" xfId="0" applyNumberFormat="1" applyFill="1" applyBorder="1" applyAlignment="1">
      <alignment horizontal="center" vertical="center" wrapText="1"/>
    </xf>
    <xf numFmtId="14" fontId="0" fillId="11" borderId="23" xfId="0" applyNumberForma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8" fillId="20" borderId="27" xfId="0" applyFont="1" applyFill="1" applyBorder="1" applyAlignment="1">
      <alignment horizontal="center"/>
    </xf>
    <xf numFmtId="0" fontId="27" fillId="20" borderId="27" xfId="0" applyFont="1" applyFill="1" applyBorder="1" applyAlignment="1">
      <alignment horizontal="center"/>
    </xf>
    <xf numFmtId="0" fontId="22" fillId="20" borderId="27" xfId="0" applyFont="1" applyFill="1" applyBorder="1" applyAlignment="1">
      <alignment horizontal="center" wrapText="1"/>
    </xf>
    <xf numFmtId="0" fontId="22" fillId="20" borderId="27" xfId="0" applyFont="1" applyFill="1" applyBorder="1" applyAlignment="1">
      <alignment horizontal="center"/>
    </xf>
    <xf numFmtId="14" fontId="22" fillId="20" borderId="27" xfId="0" applyNumberFormat="1" applyFont="1" applyFill="1" applyBorder="1" applyAlignment="1">
      <alignment horizontal="center"/>
    </xf>
    <xf numFmtId="0" fontId="25" fillId="20" borderId="27" xfId="0" applyFont="1" applyFill="1" applyBorder="1" applyAlignment="1">
      <alignment horizontal="center" wrapText="1"/>
    </xf>
    <xf numFmtId="0" fontId="22" fillId="20" borderId="27" xfId="0" applyFont="1" applyFill="1" applyBorder="1" applyAlignment="1">
      <alignment horizontal="left" indent="1"/>
    </xf>
    <xf numFmtId="0" fontId="27" fillId="20" borderId="27" xfId="0" applyFont="1" applyFill="1" applyBorder="1" applyAlignment="1">
      <alignment horizontal="center" wrapText="1"/>
    </xf>
    <xf numFmtId="0" fontId="20" fillId="22" borderId="23" xfId="0" applyFont="1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/>
    </xf>
    <xf numFmtId="14" fontId="0" fillId="11" borderId="27" xfId="0" applyNumberForma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0" fillId="3" borderId="42" xfId="0" applyFont="1" applyFill="1" applyBorder="1" applyAlignment="1">
      <alignment wrapText="1"/>
    </xf>
    <xf numFmtId="0" fontId="10" fillId="3" borderId="43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10" fillId="3" borderId="45" xfId="0" applyFont="1" applyFill="1" applyBorder="1" applyAlignment="1">
      <alignment wrapText="1"/>
    </xf>
    <xf numFmtId="0" fontId="10" fillId="3" borderId="48" xfId="0" applyFont="1" applyFill="1" applyBorder="1" applyAlignment="1">
      <alignment wrapText="1"/>
    </xf>
    <xf numFmtId="0" fontId="10" fillId="3" borderId="49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6" fillId="2" borderId="10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3" fillId="3" borderId="13" xfId="0" applyFont="1" applyFill="1" applyBorder="1" applyAlignment="1">
      <alignment horizontal="center" wrapText="1"/>
    </xf>
    <xf numFmtId="0" fontId="8" fillId="0" borderId="17" xfId="0" applyFont="1" applyBorder="1"/>
    <xf numFmtId="0" fontId="8" fillId="0" borderId="7" xfId="0" applyFont="1" applyBorder="1"/>
    <xf numFmtId="0" fontId="8" fillId="0" borderId="19" xfId="0" applyFont="1" applyBorder="1"/>
    <xf numFmtId="0" fontId="8" fillId="0" borderId="18" xfId="0" applyFont="1" applyBorder="1"/>
    <xf numFmtId="0" fontId="13" fillId="5" borderId="0" xfId="0" applyFont="1" applyFill="1" applyAlignment="1">
      <alignment horizontal="center" textRotation="255"/>
    </xf>
    <xf numFmtId="0" fontId="13" fillId="5" borderId="0" xfId="0" applyFont="1" applyFill="1" applyAlignment="1">
      <alignment horizontal="center"/>
    </xf>
    <xf numFmtId="0" fontId="14" fillId="7" borderId="0" xfId="0" applyFont="1" applyFill="1" applyAlignment="1">
      <alignment horizontal="center" vertical="center"/>
    </xf>
    <xf numFmtId="0" fontId="19" fillId="13" borderId="23" xfId="0" applyFont="1" applyFill="1" applyBorder="1" applyAlignment="1">
      <alignment horizontal="center"/>
    </xf>
    <xf numFmtId="0" fontId="19" fillId="13" borderId="3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25" fillId="11" borderId="27" xfId="0" applyFont="1" applyFill="1" applyBorder="1" applyAlignment="1">
      <alignment horizontal="center" vertical="center"/>
    </xf>
    <xf numFmtId="0" fontId="26" fillId="11" borderId="27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 wrapText="1"/>
    </xf>
    <xf numFmtId="14" fontId="0" fillId="0" borderId="28" xfId="0" applyNumberForma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16" fontId="0" fillId="0" borderId="26" xfId="0" applyNumberForma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14" fontId="0" fillId="0" borderId="26" xfId="0" applyNumberFormat="1" applyBorder="1" applyAlignment="1">
      <alignment horizontal="center" vertical="center" wrapText="1"/>
    </xf>
    <xf numFmtId="0" fontId="12" fillId="11" borderId="23" xfId="0" applyFont="1" applyFill="1" applyBorder="1" applyAlignment="1">
      <alignment horizontal="center" vertical="center" wrapText="1"/>
    </xf>
    <xf numFmtId="0" fontId="23" fillId="19" borderId="4" xfId="0" applyFont="1" applyFill="1" applyBorder="1" applyAlignment="1">
      <alignment horizontal="center" vertical="center" wrapText="1"/>
    </xf>
    <xf numFmtId="0" fontId="25" fillId="11" borderId="23" xfId="0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/>
    </xf>
    <xf numFmtId="0" fontId="12" fillId="12" borderId="23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14" fontId="0" fillId="12" borderId="23" xfId="0" applyNumberForma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0" fontId="26" fillId="12" borderId="23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 wrapText="1"/>
    </xf>
    <xf numFmtId="0" fontId="12" fillId="12" borderId="23" xfId="0" applyFont="1" applyFill="1" applyBorder="1" applyAlignment="1">
      <alignment horizontal="center" vertical="center" wrapText="1"/>
    </xf>
    <xf numFmtId="16" fontId="0" fillId="12" borderId="23" xfId="0" applyNumberFormat="1" applyFill="1" applyBorder="1" applyAlignment="1">
      <alignment horizontal="center" vertical="center" wrapText="1"/>
    </xf>
    <xf numFmtId="14" fontId="0" fillId="12" borderId="23" xfId="0" applyNumberFormat="1" applyFill="1" applyBorder="1" applyAlignment="1">
      <alignment horizontal="center" vertical="center" wrapText="1"/>
    </xf>
    <xf numFmtId="0" fontId="26" fillId="12" borderId="23" xfId="0" applyFont="1" applyFill="1" applyBorder="1" applyAlignment="1">
      <alignment horizontal="center" vertical="center" wrapText="1"/>
    </xf>
    <xf numFmtId="0" fontId="27" fillId="12" borderId="23" xfId="0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14" fontId="0" fillId="12" borderId="28" xfId="0" applyNumberFormat="1" applyFill="1" applyBorder="1" applyAlignment="1">
      <alignment horizontal="center" vertical="center"/>
    </xf>
    <xf numFmtId="0" fontId="27" fillId="12" borderId="28" xfId="0" applyFont="1" applyFill="1" applyBorder="1" applyAlignment="1">
      <alignment horizontal="center" vertical="center"/>
    </xf>
    <xf numFmtId="0" fontId="26" fillId="12" borderId="28" xfId="0" applyFont="1" applyFill="1" applyBorder="1" applyAlignment="1">
      <alignment horizontal="center" vertical="center"/>
    </xf>
    <xf numFmtId="0" fontId="12" fillId="12" borderId="29" xfId="0" applyFont="1" applyFill="1" applyBorder="1" applyAlignment="1">
      <alignment horizontal="center" vertical="center"/>
    </xf>
    <xf numFmtId="16" fontId="0" fillId="12" borderId="29" xfId="0" applyNumberFormat="1" applyFill="1" applyBorder="1" applyAlignment="1">
      <alignment horizontal="center" vertical="center" wrapText="1"/>
    </xf>
    <xf numFmtId="14" fontId="27" fillId="12" borderId="28" xfId="0" applyNumberFormat="1" applyFont="1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 wrapText="1"/>
    </xf>
    <xf numFmtId="0" fontId="12" fillId="12" borderId="27" xfId="0" applyFont="1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14" fontId="0" fillId="12" borderId="27" xfId="0" applyNumberFormat="1" applyFill="1" applyBorder="1" applyAlignment="1">
      <alignment horizontal="center" vertical="center"/>
    </xf>
    <xf numFmtId="0" fontId="25" fillId="12" borderId="27" xfId="0" applyFont="1" applyFill="1" applyBorder="1" applyAlignment="1">
      <alignment horizontal="center" vertical="center"/>
    </xf>
    <xf numFmtId="0" fontId="18" fillId="12" borderId="27" xfId="0" applyFont="1" applyFill="1" applyBorder="1" applyAlignment="1">
      <alignment horizontal="center" vertical="center"/>
    </xf>
    <xf numFmtId="0" fontId="18" fillId="12" borderId="23" xfId="0" applyFont="1" applyFill="1" applyBorder="1" applyAlignment="1">
      <alignment horizontal="center" vertical="center" wrapText="1"/>
    </xf>
    <xf numFmtId="0" fontId="25" fillId="12" borderId="23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16" fontId="0" fillId="0" borderId="23" xfId="0" applyNumberFormat="1" applyFill="1" applyBorder="1" applyAlignment="1">
      <alignment horizontal="center" vertical="center" wrapText="1"/>
    </xf>
    <xf numFmtId="0" fontId="25" fillId="0" borderId="23" xfId="0" applyFont="1" applyFill="1" applyBorder="1" applyAlignment="1">
      <alignment horizontal="center" vertical="center" wrapText="1"/>
    </xf>
    <xf numFmtId="14" fontId="0" fillId="0" borderId="23" xfId="0" applyNumberForma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8" fillId="11" borderId="7" xfId="0" applyFont="1" applyFill="1" applyBorder="1"/>
    <xf numFmtId="0" fontId="16" fillId="11" borderId="15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Rolfo" id="{B8ACBD48-0058-F94A-AB54-10A987539B1F}" userId="S::John@channeltx.com::7d2e9e47-43c2-465b-a6b9-04ff88376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7-14T12:32:20.12" personId="{B8ACBD48-0058-F94A-AB54-10A987539B1F}" id="{E7DD71FB-B658-4D47-8F27-27803DABEFF5}">
    <text>Vessel Name from Order</text>
  </threadedComment>
  <threadedComment ref="C6" dT="2026-07-14T12:32:30.36" personId="{B8ACBD48-0058-F94A-AB54-10A987539B1F}" id="{3212F349-96AB-6B4B-B842-B57ADAB80E2C}">
    <text>Port from order</text>
  </threadedComment>
  <threadedComment ref="D6" dT="2026-07-14T12:32:51.77" personId="{B8ACBD48-0058-F94A-AB54-10A987539B1F}" id="{D444BAD5-C79D-4345-8C65-8F8A97345A09}">
    <text>Select EMPTY or LOAD</text>
  </threadedComment>
  <threadedComment ref="E6" dT="2026-07-14T12:33:03.43" personId="{B8ACBD48-0058-F94A-AB54-10A987539B1F}" id="{D7DFB69D-0D10-6640-AEBE-CF8FD9105EA7}">
    <text>Manual Input</text>
  </threadedComment>
  <threadedComment ref="F6" dT="2026-07-14T12:33:10.99" personId="{B8ACBD48-0058-F94A-AB54-10A987539B1F}" id="{17BF99DA-9030-E84C-971C-E7B59CF5D17C}">
    <text>Manual Input</text>
  </threadedComment>
  <threadedComment ref="G6" dT="2026-07-14T12:33:21.03" personId="{B8ACBD48-0058-F94A-AB54-10A987539B1F}" id="{425403BA-6640-924F-9064-EAA3081DED40}">
    <text>Manual Input</text>
  </threadedComment>
  <threadedComment ref="H6" dT="2026-07-14T12:34:06.94" personId="{B8ACBD48-0058-F94A-AB54-10A987539B1F}" id="{1AC071E5-B27C-6648-9006-162DC82B14EB}">
    <text>OPTIONS
IN-PROGRESS
IN QUEUE # 
COMPLETED</text>
  </threadedComment>
  <threadedComment ref="I6" dT="2026-07-14T12:34:18.67" personId="{B8ACBD48-0058-F94A-AB54-10A987539B1F}" id="{0FA799C0-7E11-6442-9118-23E1E5957084}">
    <text>Date for Work</text>
  </threadedComment>
  <threadedComment ref="J6" dT="2026-07-14T12:34:29.60" personId="{B8ACBD48-0058-F94A-AB54-10A987539B1F}" id="{55757541-3944-9044-B729-2EFC6BA5C32E}">
    <text>Yes / No</text>
  </threadedComment>
  <threadedComment ref="K6" dT="2026-07-14T12:31:26.32" personId="{B8ACBD48-0058-F94A-AB54-10A987539B1F}" id="{664EF517-697F-2344-AE8D-CBD8D9E47017}">
    <text xml:space="preserve">Make this a Drop Down menu where services can be selected from the products menu. </text>
  </threadedComment>
  <threadedComment ref="L6" dT="2026-07-14T12:34:37.62" personId="{B8ACBD48-0058-F94A-AB54-10A987539B1F}" id="{5DB9EA6F-1469-3F40-8D1D-3B639004CDE8}">
    <text>Yes / No</text>
  </threadedComment>
  <threadedComment ref="M6" dT="2026-07-14T12:31:40.64" personId="{B8ACBD48-0058-F94A-AB54-10A987539B1F}" id="{A3E1CB89-2E5A-4D41-8858-FB6BE9FAD673}">
    <text>Comments from Order Card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"/>
  <sheetViews>
    <sheetView tabSelected="1" zoomScaleNormal="100" workbookViewId="0">
      <selection activeCell="B31" sqref="B31:M31"/>
    </sheetView>
  </sheetViews>
  <sheetFormatPr baseColWidth="10" defaultColWidth="8.83203125" defaultRowHeight="15"/>
  <cols>
    <col min="1" max="1" width="3.5" customWidth="1"/>
    <col min="2" max="2" width="18.83203125" bestFit="1" customWidth="1"/>
    <col min="3" max="3" width="8.33203125" customWidth="1"/>
    <col min="4" max="4" width="10" customWidth="1"/>
    <col min="5" max="5" width="14.6640625" bestFit="1" customWidth="1"/>
    <col min="6" max="6" width="13" bestFit="1" customWidth="1"/>
    <col min="7" max="7" width="17" customWidth="1"/>
    <col min="8" max="8" width="40.6640625" bestFit="1" customWidth="1"/>
    <col min="9" max="9" width="13.33203125" customWidth="1"/>
    <col min="10" max="10" width="12.1640625" bestFit="1" customWidth="1"/>
    <col min="11" max="11" width="48.5" customWidth="1"/>
    <col min="12" max="12" width="13" customWidth="1"/>
    <col min="13" max="13" width="50.6640625" customWidth="1"/>
    <col min="14" max="14" width="1.6640625" bestFit="1" customWidth="1"/>
  </cols>
  <sheetData>
    <row r="1" spans="1:37" ht="17" thickBot="1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37" ht="18" thickBot="1">
      <c r="A2" s="1" t="s">
        <v>0</v>
      </c>
      <c r="B2" s="190" t="s">
        <v>1</v>
      </c>
      <c r="C2" s="191"/>
      <c r="D2" s="191"/>
      <c r="E2" s="191"/>
      <c r="F2" s="191"/>
      <c r="G2" s="191"/>
      <c r="H2" s="191"/>
      <c r="I2" s="191"/>
      <c r="J2" s="191"/>
      <c r="K2" s="179" t="s">
        <v>2</v>
      </c>
      <c r="L2" s="179"/>
      <c r="M2" s="180"/>
      <c r="N2" s="128" t="s">
        <v>0</v>
      </c>
    </row>
    <row r="3" spans="1:37" ht="18" thickBot="1">
      <c r="A3" s="1" t="s">
        <v>0</v>
      </c>
      <c r="B3" s="192"/>
      <c r="C3" s="193"/>
      <c r="D3" s="193"/>
      <c r="E3" s="193"/>
      <c r="F3" s="193"/>
      <c r="G3" s="193"/>
      <c r="H3" s="193"/>
      <c r="I3" s="193"/>
      <c r="J3" s="193"/>
      <c r="K3" s="181"/>
      <c r="L3" s="181"/>
      <c r="M3" s="182"/>
      <c r="N3" s="128" t="s">
        <v>0</v>
      </c>
    </row>
    <row r="4" spans="1:37" ht="18" thickBot="1">
      <c r="A4" s="59" t="s">
        <v>0</v>
      </c>
      <c r="B4" s="194"/>
      <c r="C4" s="195"/>
      <c r="D4" s="195"/>
      <c r="E4" s="195"/>
      <c r="F4" s="195"/>
      <c r="G4" s="195"/>
      <c r="H4" s="195"/>
      <c r="I4" s="195"/>
      <c r="J4" s="195"/>
      <c r="K4" s="183"/>
      <c r="L4" s="183"/>
      <c r="M4" s="184"/>
      <c r="N4" s="128" t="s">
        <v>0</v>
      </c>
    </row>
    <row r="5" spans="1:37" ht="18" thickBot="1">
      <c r="A5" s="59" t="s">
        <v>0</v>
      </c>
      <c r="B5" s="185" t="s">
        <v>3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28" t="s">
        <v>0</v>
      </c>
    </row>
    <row r="6" spans="1:37" ht="51" customHeight="1">
      <c r="A6" s="59" t="s">
        <v>0</v>
      </c>
      <c r="B6" s="80" t="s">
        <v>4</v>
      </c>
      <c r="C6" s="81" t="s">
        <v>5</v>
      </c>
      <c r="D6" s="81" t="s">
        <v>6</v>
      </c>
      <c r="E6" s="81" t="s">
        <v>7</v>
      </c>
      <c r="F6" s="82" t="s">
        <v>8</v>
      </c>
      <c r="G6" s="83" t="s">
        <v>9</v>
      </c>
      <c r="H6" s="80" t="s">
        <v>10</v>
      </c>
      <c r="I6" s="81" t="s">
        <v>11</v>
      </c>
      <c r="J6" s="81" t="s">
        <v>12</v>
      </c>
      <c r="K6" s="81" t="s">
        <v>13</v>
      </c>
      <c r="L6" s="81" t="s">
        <v>14</v>
      </c>
      <c r="M6" s="84" t="s">
        <v>15</v>
      </c>
      <c r="N6" s="128" t="s">
        <v>0</v>
      </c>
    </row>
    <row r="7" spans="1:37" s="36" customFormat="1" ht="16">
      <c r="A7" s="231"/>
      <c r="B7" s="136" t="s">
        <v>249</v>
      </c>
      <c r="C7" s="127" t="s">
        <v>41</v>
      </c>
      <c r="D7" s="127" t="s">
        <v>18</v>
      </c>
      <c r="E7" s="127" t="s">
        <v>42</v>
      </c>
      <c r="F7" s="127" t="s">
        <v>49</v>
      </c>
      <c r="G7" s="133" t="s">
        <v>21</v>
      </c>
      <c r="H7" s="177" t="s">
        <v>283</v>
      </c>
      <c r="I7" s="134">
        <v>46211</v>
      </c>
      <c r="J7" s="127" t="s">
        <v>24</v>
      </c>
      <c r="K7" s="233" t="s">
        <v>262</v>
      </c>
      <c r="L7" s="127" t="s">
        <v>51</v>
      </c>
      <c r="M7" s="127" t="s">
        <v>261</v>
      </c>
      <c r="N7" s="130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pans="1:37" s="61" customFormat="1" ht="16">
      <c r="A8" s="60"/>
      <c r="B8" s="136" t="s">
        <v>257</v>
      </c>
      <c r="C8" s="127" t="s">
        <v>41</v>
      </c>
      <c r="D8" s="127" t="s">
        <v>18</v>
      </c>
      <c r="E8" s="127" t="s">
        <v>42</v>
      </c>
      <c r="F8" s="127" t="s">
        <v>49</v>
      </c>
      <c r="G8" s="133" t="s">
        <v>21</v>
      </c>
      <c r="H8" s="177" t="s">
        <v>259</v>
      </c>
      <c r="I8" s="134">
        <v>46214</v>
      </c>
      <c r="J8" s="127" t="s">
        <v>24</v>
      </c>
      <c r="K8" s="233" t="s">
        <v>262</v>
      </c>
      <c r="L8" s="127" t="s">
        <v>51</v>
      </c>
      <c r="M8" s="127" t="s">
        <v>261</v>
      </c>
      <c r="N8" s="130"/>
    </row>
    <row r="9" spans="1:37" s="61" customFormat="1" ht="16">
      <c r="A9" s="60"/>
      <c r="B9" s="137" t="s">
        <v>258</v>
      </c>
      <c r="C9" s="165" t="s">
        <v>41</v>
      </c>
      <c r="D9" s="127" t="s">
        <v>18</v>
      </c>
      <c r="E9" s="127" t="s">
        <v>42</v>
      </c>
      <c r="F9" s="127" t="s">
        <v>49</v>
      </c>
      <c r="G9" s="133" t="s">
        <v>21</v>
      </c>
      <c r="H9" s="177" t="s">
        <v>260</v>
      </c>
      <c r="I9" s="134">
        <v>46214</v>
      </c>
      <c r="J9" s="127" t="s">
        <v>24</v>
      </c>
      <c r="K9" s="233" t="s">
        <v>262</v>
      </c>
      <c r="L9" s="127" t="s">
        <v>51</v>
      </c>
      <c r="M9" s="127" t="s">
        <v>261</v>
      </c>
      <c r="N9" s="130"/>
    </row>
    <row r="10" spans="1:37" s="61" customFormat="1" ht="16">
      <c r="A10" s="60"/>
      <c r="B10" s="127" t="s">
        <v>284</v>
      </c>
      <c r="C10" s="127" t="s">
        <v>17</v>
      </c>
      <c r="D10" s="127" t="s">
        <v>18</v>
      </c>
      <c r="E10" s="127" t="s">
        <v>48</v>
      </c>
      <c r="F10" s="127" t="s">
        <v>82</v>
      </c>
      <c r="G10" s="127" t="s">
        <v>21</v>
      </c>
      <c r="H10" s="177" t="s">
        <v>283</v>
      </c>
      <c r="I10" s="134">
        <v>46216</v>
      </c>
      <c r="J10" s="127" t="s">
        <v>26</v>
      </c>
      <c r="K10" s="177" t="s">
        <v>286</v>
      </c>
      <c r="L10" s="127" t="s">
        <v>26</v>
      </c>
      <c r="M10" s="127" t="s">
        <v>287</v>
      </c>
      <c r="N10" s="130"/>
    </row>
    <row r="11" spans="1:37" s="61" customFormat="1" ht="16">
      <c r="A11" s="60"/>
      <c r="B11" s="136" t="s">
        <v>285</v>
      </c>
      <c r="C11" s="127" t="s">
        <v>17</v>
      </c>
      <c r="D11" s="127" t="s">
        <v>18</v>
      </c>
      <c r="E11" s="127" t="s">
        <v>48</v>
      </c>
      <c r="F11" s="127" t="s">
        <v>82</v>
      </c>
      <c r="G11" s="133" t="s">
        <v>21</v>
      </c>
      <c r="H11" s="177" t="s">
        <v>283</v>
      </c>
      <c r="I11" s="134">
        <v>46216</v>
      </c>
      <c r="J11" s="127" t="s">
        <v>26</v>
      </c>
      <c r="K11" s="233" t="s">
        <v>286</v>
      </c>
      <c r="L11" s="127" t="s">
        <v>51</v>
      </c>
      <c r="M11" s="127" t="s">
        <v>287</v>
      </c>
      <c r="N11" s="130"/>
    </row>
    <row r="12" spans="1:37" s="61" customFormat="1" ht="16">
      <c r="A12" s="60"/>
      <c r="B12" s="136"/>
      <c r="C12" s="127"/>
      <c r="D12" s="127"/>
      <c r="E12" s="127"/>
      <c r="F12" s="127"/>
      <c r="G12" s="133"/>
      <c r="H12" s="177"/>
      <c r="I12" s="134"/>
      <c r="J12" s="127"/>
      <c r="K12" s="233"/>
      <c r="L12" s="127"/>
      <c r="M12" s="127"/>
      <c r="N12" s="130"/>
    </row>
    <row r="13" spans="1:37" s="61" customFormat="1" ht="16">
      <c r="A13" s="60"/>
      <c r="B13" s="136"/>
      <c r="C13" s="127"/>
      <c r="D13" s="127"/>
      <c r="E13" s="127"/>
      <c r="F13" s="127"/>
      <c r="G13" s="133"/>
      <c r="H13" s="177"/>
      <c r="I13" s="134"/>
      <c r="J13" s="127"/>
      <c r="K13" s="233"/>
      <c r="L13" s="127"/>
      <c r="M13" s="127"/>
      <c r="N13" s="130"/>
    </row>
    <row r="14" spans="1:37" s="61" customFormat="1" ht="16">
      <c r="A14" s="60"/>
      <c r="B14" s="136"/>
      <c r="C14" s="127"/>
      <c r="D14" s="127"/>
      <c r="E14" s="127"/>
      <c r="F14" s="127"/>
      <c r="G14" s="133"/>
      <c r="H14" s="177"/>
      <c r="I14" s="134"/>
      <c r="J14" s="127"/>
      <c r="K14" s="233"/>
      <c r="L14" s="127"/>
      <c r="M14" s="127"/>
      <c r="N14" s="130"/>
    </row>
    <row r="15" spans="1:37" s="61" customFormat="1" ht="16">
      <c r="A15" s="60"/>
      <c r="B15" s="136"/>
      <c r="C15" s="127"/>
      <c r="D15" s="127"/>
      <c r="E15" s="127"/>
      <c r="F15" s="127"/>
      <c r="G15" s="133"/>
      <c r="H15" s="177"/>
      <c r="I15" s="134"/>
      <c r="J15" s="127"/>
      <c r="K15" s="233"/>
      <c r="L15" s="127"/>
      <c r="M15" s="127"/>
      <c r="N15" s="130"/>
    </row>
    <row r="16" spans="1:37" s="53" customFormat="1" ht="16">
      <c r="A16" s="231"/>
      <c r="B16" s="135"/>
      <c r="C16" s="127"/>
      <c r="D16" s="127"/>
      <c r="E16" s="127"/>
      <c r="F16" s="127"/>
      <c r="G16" s="133"/>
      <c r="H16" s="177"/>
      <c r="I16" s="134"/>
      <c r="J16" s="127"/>
      <c r="K16" s="177"/>
      <c r="L16" s="127"/>
      <c r="M16" s="127"/>
      <c r="N16" s="129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123"/>
    </row>
    <row r="17" spans="1:23" s="36" customFormat="1" ht="16">
      <c r="A17" s="58"/>
      <c r="B17" s="225"/>
      <c r="C17" s="226"/>
      <c r="D17" s="226"/>
      <c r="E17" s="226"/>
      <c r="F17" s="226"/>
      <c r="G17" s="227"/>
      <c r="H17" s="228"/>
      <c r="I17" s="229"/>
      <c r="J17" s="226"/>
      <c r="K17" s="228"/>
      <c r="L17" s="226"/>
      <c r="M17" s="226"/>
      <c r="N17" s="129"/>
    </row>
    <row r="18" spans="1:23" ht="18" thickBot="1">
      <c r="A18" s="59" t="s">
        <v>0</v>
      </c>
      <c r="B18" s="185" t="s">
        <v>34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7"/>
      <c r="N18" s="128"/>
    </row>
    <row r="19" spans="1:23" ht="51">
      <c r="A19" s="59" t="s">
        <v>0</v>
      </c>
      <c r="B19" s="23" t="s">
        <v>4</v>
      </c>
      <c r="C19" s="21" t="s">
        <v>5</v>
      </c>
      <c r="D19" s="21" t="s">
        <v>5</v>
      </c>
      <c r="E19" s="21" t="s">
        <v>35</v>
      </c>
      <c r="F19" s="200" t="s">
        <v>36</v>
      </c>
      <c r="G19" s="188"/>
      <c r="H19" s="21" t="s">
        <v>10</v>
      </c>
      <c r="I19" s="37" t="s">
        <v>37</v>
      </c>
      <c r="J19" s="188" t="s">
        <v>38</v>
      </c>
      <c r="K19" s="189"/>
      <c r="L19" s="21" t="s">
        <v>14</v>
      </c>
      <c r="M19" s="38" t="s">
        <v>39</v>
      </c>
      <c r="N19" s="128" t="s">
        <v>0</v>
      </c>
    </row>
    <row r="20" spans="1:23" s="61" customFormat="1" ht="16">
      <c r="A20" s="60"/>
      <c r="B20" s="137" t="s">
        <v>250</v>
      </c>
      <c r="C20" s="137" t="s">
        <v>41</v>
      </c>
      <c r="D20" s="137"/>
      <c r="E20" s="137" t="s">
        <v>42</v>
      </c>
      <c r="F20" s="137" t="s">
        <v>41</v>
      </c>
      <c r="G20" s="221"/>
      <c r="H20" s="222" t="s">
        <v>288</v>
      </c>
      <c r="I20" s="221">
        <v>46212</v>
      </c>
      <c r="J20" s="137" t="s">
        <v>26</v>
      </c>
      <c r="K20" s="222" t="s">
        <v>50</v>
      </c>
      <c r="L20" s="137" t="s">
        <v>26</v>
      </c>
      <c r="M20" s="137" t="s">
        <v>251</v>
      </c>
      <c r="N20" s="130"/>
    </row>
    <row r="21" spans="1:23" ht="17">
      <c r="A21" s="5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128" t="s">
        <v>0</v>
      </c>
      <c r="W21">
        <f>7396/305</f>
        <v>24.249180327868853</v>
      </c>
    </row>
    <row r="22" spans="1:23" ht="17">
      <c r="A22" s="59" t="s">
        <v>0</v>
      </c>
      <c r="B22" s="135"/>
      <c r="C22" s="135"/>
      <c r="D22" s="135"/>
      <c r="E22" s="135"/>
      <c r="F22" s="135"/>
      <c r="G22" s="223"/>
      <c r="H22" s="224"/>
      <c r="I22" s="223"/>
      <c r="J22" s="135"/>
      <c r="K22" s="224"/>
      <c r="L22" s="135"/>
      <c r="M22" s="135"/>
      <c r="N22" s="128"/>
      <c r="W22">
        <f>141.5/(131.5+37.7)</f>
        <v>0.83628841607565019</v>
      </c>
    </row>
    <row r="23" spans="1:23" ht="18" thickBot="1">
      <c r="A23" s="1" t="s">
        <v>0</v>
      </c>
      <c r="B23" s="185" t="s">
        <v>53</v>
      </c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7"/>
      <c r="N23" s="128" t="s">
        <v>0</v>
      </c>
      <c r="W23">
        <f>264.172/W22</f>
        <v>315.88623604240286</v>
      </c>
    </row>
    <row r="24" spans="1:23" ht="31.5" customHeight="1" thickBot="1">
      <c r="A24" s="1" t="s">
        <v>0</v>
      </c>
      <c r="B24" s="5" t="s">
        <v>4</v>
      </c>
      <c r="C24" s="6" t="s">
        <v>5</v>
      </c>
      <c r="D24" s="6" t="s">
        <v>6</v>
      </c>
      <c r="E24" s="6" t="s">
        <v>54</v>
      </c>
      <c r="F24" s="6" t="s">
        <v>55</v>
      </c>
      <c r="G24" s="6" t="s">
        <v>9</v>
      </c>
      <c r="H24" s="6" t="s">
        <v>10</v>
      </c>
      <c r="I24" s="196" t="s">
        <v>56</v>
      </c>
      <c r="J24" s="197"/>
      <c r="K24" s="198" t="s">
        <v>39</v>
      </c>
      <c r="L24" s="198"/>
      <c r="M24" s="199"/>
      <c r="N24" s="128" t="s">
        <v>0</v>
      </c>
      <c r="W24">
        <f>7501/310</f>
        <v>24.196774193548386</v>
      </c>
    </row>
    <row r="25" spans="1:23" ht="17">
      <c r="A25" s="1" t="s">
        <v>0</v>
      </c>
      <c r="B25" s="56"/>
      <c r="C25" s="57"/>
      <c r="D25" s="57"/>
      <c r="E25" s="57"/>
      <c r="F25" s="57"/>
      <c r="G25" s="57"/>
      <c r="H25" s="54"/>
      <c r="I25" s="55"/>
      <c r="J25" s="53"/>
      <c r="K25" s="54"/>
      <c r="L25" s="53"/>
      <c r="M25" s="79"/>
      <c r="N25" s="128" t="s">
        <v>0</v>
      </c>
    </row>
    <row r="26" spans="1:23" ht="17">
      <c r="A26" s="1" t="s">
        <v>0</v>
      </c>
      <c r="B26" s="56" t="s">
        <v>0</v>
      </c>
      <c r="C26" s="57"/>
      <c r="D26" s="57" t="s">
        <v>0</v>
      </c>
      <c r="E26" s="57" t="s">
        <v>0</v>
      </c>
      <c r="F26" s="57" t="s">
        <v>0</v>
      </c>
      <c r="G26" s="57"/>
      <c r="H26" s="54" t="s">
        <v>0</v>
      </c>
      <c r="I26" s="55" t="s">
        <v>0</v>
      </c>
      <c r="J26" s="53"/>
      <c r="K26" s="54" t="s">
        <v>0</v>
      </c>
      <c r="L26" s="53"/>
      <c r="M26" s="79"/>
      <c r="N26" s="128" t="s">
        <v>0</v>
      </c>
    </row>
    <row r="27" spans="1:23" ht="18" thickBot="1">
      <c r="A27" s="1" t="s">
        <v>0</v>
      </c>
      <c r="B27" s="204" t="s">
        <v>57</v>
      </c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6"/>
      <c r="N27" s="128" t="s">
        <v>0</v>
      </c>
    </row>
    <row r="28" spans="1:23" ht="52" thickBot="1">
      <c r="A28" s="1" t="s">
        <v>0</v>
      </c>
      <c r="B28" s="5" t="s">
        <v>4</v>
      </c>
      <c r="C28" s="6" t="s">
        <v>5</v>
      </c>
      <c r="D28" s="198" t="s">
        <v>58</v>
      </c>
      <c r="E28" s="207"/>
      <c r="F28" s="7" t="s">
        <v>54</v>
      </c>
      <c r="G28" s="7" t="s">
        <v>9</v>
      </c>
      <c r="H28" s="6" t="s">
        <v>10</v>
      </c>
      <c r="I28" s="6" t="s">
        <v>59</v>
      </c>
      <c r="J28" s="6" t="s">
        <v>12</v>
      </c>
      <c r="K28" s="6" t="s">
        <v>60</v>
      </c>
      <c r="L28" s="6" t="s">
        <v>14</v>
      </c>
      <c r="M28" s="34" t="s">
        <v>39</v>
      </c>
      <c r="N28" s="128" t="s">
        <v>0</v>
      </c>
    </row>
    <row r="29" spans="1:23" ht="17">
      <c r="A29" s="1" t="s">
        <v>0</v>
      </c>
      <c r="B29" s="2" t="s">
        <v>0</v>
      </c>
      <c r="C29" s="3" t="s">
        <v>0</v>
      </c>
      <c r="D29" s="208" t="s">
        <v>0</v>
      </c>
      <c r="E29" s="209"/>
      <c r="F29" s="3" t="s">
        <v>0</v>
      </c>
      <c r="G29" s="3"/>
      <c r="H29" s="4" t="s">
        <v>0</v>
      </c>
      <c r="I29" s="3" t="s">
        <v>0</v>
      </c>
      <c r="J29" s="3" t="s">
        <v>0</v>
      </c>
      <c r="K29" s="4" t="s">
        <v>0</v>
      </c>
      <c r="L29" s="3" t="s">
        <v>0</v>
      </c>
      <c r="M29" s="4" t="s">
        <v>0</v>
      </c>
      <c r="N29" s="128" t="s">
        <v>0</v>
      </c>
    </row>
    <row r="30" spans="1:23" ht="17">
      <c r="A30" s="1" t="s">
        <v>0</v>
      </c>
      <c r="B30" s="2" t="s">
        <v>0</v>
      </c>
      <c r="C30" s="3" t="s">
        <v>0</v>
      </c>
      <c r="D30" s="210" t="s">
        <v>0</v>
      </c>
      <c r="E30" s="211"/>
      <c r="F30" s="3" t="s">
        <v>0</v>
      </c>
      <c r="G30" s="3"/>
      <c r="H30" s="4" t="s">
        <v>0</v>
      </c>
      <c r="I30" s="3" t="s">
        <v>0</v>
      </c>
      <c r="J30" s="3" t="s">
        <v>0</v>
      </c>
      <c r="K30" s="4" t="s">
        <v>0</v>
      </c>
      <c r="L30" s="3" t="s">
        <v>0</v>
      </c>
      <c r="M30" s="4" t="s">
        <v>0</v>
      </c>
      <c r="N30" s="128" t="s">
        <v>0</v>
      </c>
    </row>
    <row r="31" spans="1:23" ht="17">
      <c r="A31" s="20" t="s">
        <v>0</v>
      </c>
      <c r="B31" s="204" t="s">
        <v>61</v>
      </c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6"/>
      <c r="N31" s="128" t="s">
        <v>0</v>
      </c>
    </row>
    <row r="32" spans="1:23" ht="51">
      <c r="A32" s="1" t="s">
        <v>0</v>
      </c>
      <c r="B32" s="62" t="s">
        <v>4</v>
      </c>
      <c r="C32" s="62" t="s">
        <v>5</v>
      </c>
      <c r="D32" s="62" t="s">
        <v>6</v>
      </c>
      <c r="E32" s="62" t="s">
        <v>7</v>
      </c>
      <c r="F32" s="62" t="s">
        <v>8</v>
      </c>
      <c r="G32" s="62" t="s">
        <v>9</v>
      </c>
      <c r="H32" s="62" t="s">
        <v>10</v>
      </c>
      <c r="I32" s="62" t="s">
        <v>62</v>
      </c>
      <c r="J32" s="62" t="s">
        <v>12</v>
      </c>
      <c r="K32" s="62" t="s">
        <v>13</v>
      </c>
      <c r="L32" s="62" t="s">
        <v>14</v>
      </c>
      <c r="M32" s="63" t="s">
        <v>15</v>
      </c>
      <c r="N32" s="131"/>
    </row>
    <row r="33" spans="1:15" ht="16" hidden="1">
      <c r="A33" s="35"/>
      <c r="B33" s="75" t="s">
        <v>63</v>
      </c>
      <c r="C33" s="77" t="s">
        <v>64</v>
      </c>
      <c r="D33" s="77" t="s">
        <v>65</v>
      </c>
      <c r="E33" s="78" t="s">
        <v>66</v>
      </c>
      <c r="F33" s="96" t="s">
        <v>67</v>
      </c>
      <c r="G33" s="68" t="s">
        <v>21</v>
      </c>
      <c r="H33" s="66" t="s">
        <v>68</v>
      </c>
      <c r="I33" s="97">
        <v>46136</v>
      </c>
      <c r="J33" s="65" t="s">
        <v>26</v>
      </c>
      <c r="K33" s="66" t="s">
        <v>69</v>
      </c>
      <c r="L33" s="76" t="s">
        <v>26</v>
      </c>
      <c r="M33" s="76" t="s">
        <v>70</v>
      </c>
      <c r="N33" s="132"/>
      <c r="O33" s="36"/>
    </row>
    <row r="34" spans="1:15" ht="16" hidden="1">
      <c r="A34" s="35"/>
      <c r="B34" s="64" t="s">
        <v>71</v>
      </c>
      <c r="C34" s="65" t="s">
        <v>72</v>
      </c>
      <c r="D34" s="65" t="s">
        <v>73</v>
      </c>
      <c r="E34" s="65" t="s">
        <v>74</v>
      </c>
      <c r="F34" s="65" t="s">
        <v>75</v>
      </c>
      <c r="G34" s="65" t="s">
        <v>76</v>
      </c>
      <c r="H34" s="66" t="s">
        <v>77</v>
      </c>
      <c r="I34" s="67">
        <v>46151</v>
      </c>
      <c r="J34" s="65" t="s">
        <v>26</v>
      </c>
      <c r="K34" s="66" t="s">
        <v>78</v>
      </c>
      <c r="L34" s="65" t="s">
        <v>24</v>
      </c>
      <c r="M34" s="68" t="s">
        <v>79</v>
      </c>
      <c r="N34" s="132"/>
      <c r="O34" s="36"/>
    </row>
    <row r="35" spans="1:15" ht="32" hidden="1">
      <c r="A35" s="35"/>
      <c r="B35" s="64" t="s">
        <v>80</v>
      </c>
      <c r="C35" s="65" t="s">
        <v>41</v>
      </c>
      <c r="D35" s="65" t="s">
        <v>18</v>
      </c>
      <c r="E35" s="65" t="s">
        <v>81</v>
      </c>
      <c r="F35" s="69" t="s">
        <v>82</v>
      </c>
      <c r="G35" s="65" t="s">
        <v>83</v>
      </c>
      <c r="H35" s="66" t="s">
        <v>84</v>
      </c>
      <c r="I35" s="67">
        <v>46152</v>
      </c>
      <c r="J35" s="65" t="s">
        <v>26</v>
      </c>
      <c r="K35" s="66" t="s">
        <v>85</v>
      </c>
      <c r="L35" s="65" t="s">
        <v>51</v>
      </c>
      <c r="M35" s="68"/>
      <c r="N35" s="132"/>
      <c r="O35" s="36"/>
    </row>
    <row r="36" spans="1:15" ht="32" hidden="1">
      <c r="A36" s="35"/>
      <c r="B36" s="64" t="s">
        <v>86</v>
      </c>
      <c r="C36" s="65" t="s">
        <v>41</v>
      </c>
      <c r="D36" s="65" t="s">
        <v>18</v>
      </c>
      <c r="E36" s="65" t="s">
        <v>87</v>
      </c>
      <c r="F36" s="69" t="s">
        <v>82</v>
      </c>
      <c r="G36" s="65" t="s">
        <v>83</v>
      </c>
      <c r="H36" s="66" t="s">
        <v>88</v>
      </c>
      <c r="I36" s="67">
        <v>46152</v>
      </c>
      <c r="J36" s="65" t="s">
        <v>26</v>
      </c>
      <c r="K36" s="66" t="s">
        <v>85</v>
      </c>
      <c r="L36" s="65" t="s">
        <v>51</v>
      </c>
      <c r="M36" s="68"/>
      <c r="N36" s="132"/>
      <c r="O36" s="36"/>
    </row>
    <row r="37" spans="1:15" ht="32" hidden="1">
      <c r="A37" s="35"/>
      <c r="B37" s="64" t="s">
        <v>89</v>
      </c>
      <c r="C37" s="65" t="s">
        <v>41</v>
      </c>
      <c r="D37" s="65" t="s">
        <v>18</v>
      </c>
      <c r="E37" s="65" t="s">
        <v>87</v>
      </c>
      <c r="F37" s="65" t="s">
        <v>82</v>
      </c>
      <c r="G37" s="65" t="s">
        <v>83</v>
      </c>
      <c r="H37" s="73" t="s">
        <v>90</v>
      </c>
      <c r="I37" s="67">
        <v>46152</v>
      </c>
      <c r="J37" s="65" t="s">
        <v>26</v>
      </c>
      <c r="K37" s="66" t="s">
        <v>85</v>
      </c>
      <c r="L37" s="65" t="s">
        <v>51</v>
      </c>
      <c r="M37" s="68"/>
      <c r="N37" s="132"/>
      <c r="O37" s="36"/>
    </row>
    <row r="38" spans="1:15" ht="32" hidden="1">
      <c r="A38" s="35"/>
      <c r="B38" s="88" t="s">
        <v>91</v>
      </c>
      <c r="C38" s="89" t="s">
        <v>41</v>
      </c>
      <c r="D38" s="89" t="s">
        <v>18</v>
      </c>
      <c r="E38" s="89" t="s">
        <v>92</v>
      </c>
      <c r="F38" s="89" t="s">
        <v>82</v>
      </c>
      <c r="G38" s="90" t="s">
        <v>21</v>
      </c>
      <c r="H38" s="66" t="s">
        <v>93</v>
      </c>
      <c r="I38" s="91">
        <v>46155</v>
      </c>
      <c r="J38" s="89" t="s">
        <v>26</v>
      </c>
      <c r="K38" s="92" t="s">
        <v>94</v>
      </c>
      <c r="L38" s="89" t="s">
        <v>51</v>
      </c>
      <c r="M38" s="93"/>
      <c r="N38" s="132"/>
      <c r="O38" s="36"/>
    </row>
    <row r="39" spans="1:15" ht="16" hidden="1">
      <c r="A39" s="35"/>
      <c r="B39" s="64" t="s">
        <v>95</v>
      </c>
      <c r="C39" s="65" t="s">
        <v>41</v>
      </c>
      <c r="D39" s="65"/>
      <c r="E39" s="65"/>
      <c r="F39" s="69"/>
      <c r="G39" s="85"/>
      <c r="H39" s="66" t="s">
        <v>96</v>
      </c>
      <c r="I39" s="67"/>
      <c r="J39" s="65"/>
      <c r="K39" s="66" t="s">
        <v>97</v>
      </c>
      <c r="L39" s="65" t="s">
        <v>51</v>
      </c>
      <c r="M39" s="68"/>
      <c r="N39" s="132"/>
      <c r="O39" s="36"/>
    </row>
    <row r="40" spans="1:15" ht="16" hidden="1">
      <c r="A40" s="35"/>
      <c r="B40" s="70" t="s">
        <v>98</v>
      </c>
      <c r="C40" s="71" t="s">
        <v>41</v>
      </c>
      <c r="D40" s="71" t="s">
        <v>18</v>
      </c>
      <c r="E40" s="71" t="s">
        <v>82</v>
      </c>
      <c r="F40" s="71"/>
      <c r="G40" s="87" t="s">
        <v>99</v>
      </c>
      <c r="H40" s="66" t="s">
        <v>100</v>
      </c>
      <c r="I40" s="72">
        <v>46160</v>
      </c>
      <c r="J40" s="71" t="s">
        <v>26</v>
      </c>
      <c r="K40" s="73" t="s">
        <v>101</v>
      </c>
      <c r="L40" s="71" t="s">
        <v>51</v>
      </c>
      <c r="M40" s="74"/>
      <c r="N40" s="132"/>
      <c r="O40" s="36"/>
    </row>
    <row r="41" spans="1:15" ht="16" hidden="1">
      <c r="A41" s="35"/>
      <c r="B41" s="71" t="s">
        <v>102</v>
      </c>
      <c r="C41" s="71" t="s">
        <v>41</v>
      </c>
      <c r="D41" s="71" t="s">
        <v>18</v>
      </c>
      <c r="E41" s="71" t="s">
        <v>103</v>
      </c>
      <c r="F41" s="71"/>
      <c r="G41" s="87"/>
      <c r="H41" s="66" t="s">
        <v>104</v>
      </c>
      <c r="I41" s="72">
        <v>46157</v>
      </c>
      <c r="J41" s="71"/>
      <c r="K41" s="73" t="s">
        <v>105</v>
      </c>
      <c r="L41" s="71" t="s">
        <v>51</v>
      </c>
      <c r="M41" s="74"/>
      <c r="N41" s="132"/>
      <c r="O41" s="36"/>
    </row>
    <row r="42" spans="1:15" ht="32" hidden="1">
      <c r="A42" s="35"/>
      <c r="B42" s="64" t="s">
        <v>106</v>
      </c>
      <c r="C42" s="65" t="s">
        <v>41</v>
      </c>
      <c r="D42" s="65" t="s">
        <v>18</v>
      </c>
      <c r="E42" s="65" t="s">
        <v>107</v>
      </c>
      <c r="F42" s="65" t="s">
        <v>82</v>
      </c>
      <c r="G42" s="85" t="s">
        <v>108</v>
      </c>
      <c r="H42" s="66" t="s">
        <v>109</v>
      </c>
      <c r="I42" s="67"/>
      <c r="J42" s="65"/>
      <c r="K42" s="66" t="s">
        <v>97</v>
      </c>
      <c r="L42" s="65" t="s">
        <v>51</v>
      </c>
      <c r="M42" s="68"/>
      <c r="N42" s="132"/>
      <c r="O42" s="36"/>
    </row>
    <row r="43" spans="1:15" ht="32" hidden="1">
      <c r="A43" s="35"/>
      <c r="B43" s="64" t="s">
        <v>110</v>
      </c>
      <c r="C43" s="65" t="s">
        <v>41</v>
      </c>
      <c r="D43" s="65" t="s">
        <v>18</v>
      </c>
      <c r="E43" s="65" t="s">
        <v>107</v>
      </c>
      <c r="F43" s="65" t="s">
        <v>82</v>
      </c>
      <c r="G43" s="85" t="s">
        <v>108</v>
      </c>
      <c r="H43" s="66" t="s">
        <v>109</v>
      </c>
      <c r="I43" s="67"/>
      <c r="J43" s="65"/>
      <c r="K43" s="66" t="s">
        <v>97</v>
      </c>
      <c r="L43" s="65" t="s">
        <v>51</v>
      </c>
      <c r="M43" s="86"/>
      <c r="N43" s="132"/>
      <c r="O43" s="36"/>
    </row>
    <row r="44" spans="1:15" ht="16" hidden="1">
      <c r="A44" s="35"/>
      <c r="B44" s="64" t="s">
        <v>111</v>
      </c>
      <c r="C44" s="71" t="s">
        <v>17</v>
      </c>
      <c r="D44" s="71" t="s">
        <v>18</v>
      </c>
      <c r="E44" s="65" t="s">
        <v>112</v>
      </c>
      <c r="F44" s="65" t="s">
        <v>113</v>
      </c>
      <c r="G44" s="65" t="s">
        <v>21</v>
      </c>
      <c r="H44" s="66" t="s">
        <v>114</v>
      </c>
      <c r="I44" s="67">
        <v>46160</v>
      </c>
      <c r="J44" s="65" t="s">
        <v>24</v>
      </c>
      <c r="K44" s="66" t="s">
        <v>115</v>
      </c>
      <c r="L44" s="94" t="s">
        <v>51</v>
      </c>
      <c r="M44" s="95"/>
      <c r="N44" s="132"/>
      <c r="O44" s="36"/>
    </row>
    <row r="45" spans="1:15" ht="16" hidden="1">
      <c r="A45" s="35"/>
      <c r="B45" s="64" t="s">
        <v>116</v>
      </c>
      <c r="C45" s="71" t="s">
        <v>17</v>
      </c>
      <c r="D45" s="71" t="s">
        <v>18</v>
      </c>
      <c r="E45" s="65" t="s">
        <v>112</v>
      </c>
      <c r="F45" s="65" t="s">
        <v>113</v>
      </c>
      <c r="G45" s="65" t="s">
        <v>21</v>
      </c>
      <c r="H45" s="66" t="s">
        <v>117</v>
      </c>
      <c r="I45" s="67">
        <v>46160</v>
      </c>
      <c r="J45" s="65" t="s">
        <v>24</v>
      </c>
      <c r="K45" s="66" t="s">
        <v>115</v>
      </c>
      <c r="L45" s="65" t="s">
        <v>51</v>
      </c>
      <c r="M45" s="95"/>
      <c r="N45" s="132"/>
      <c r="O45" s="36"/>
    </row>
    <row r="46" spans="1:15" ht="16" hidden="1">
      <c r="A46" s="35"/>
      <c r="B46" s="65" t="s">
        <v>118</v>
      </c>
      <c r="C46" s="65" t="s">
        <v>41</v>
      </c>
      <c r="D46" s="65" t="s">
        <v>18</v>
      </c>
      <c r="E46" s="65" t="s">
        <v>119</v>
      </c>
      <c r="F46" s="65" t="s">
        <v>21</v>
      </c>
      <c r="G46" s="65"/>
      <c r="H46" s="66" t="s">
        <v>120</v>
      </c>
      <c r="I46" s="67">
        <v>46160</v>
      </c>
      <c r="J46" s="65"/>
      <c r="K46" s="66" t="s">
        <v>97</v>
      </c>
      <c r="L46" s="65"/>
      <c r="M46" s="68"/>
      <c r="N46" s="132"/>
      <c r="O46" s="36"/>
    </row>
    <row r="47" spans="1:15" ht="16" hidden="1">
      <c r="A47" s="35"/>
      <c r="B47" s="71" t="s">
        <v>121</v>
      </c>
      <c r="C47" s="71" t="s">
        <v>41</v>
      </c>
      <c r="D47" s="71" t="s">
        <v>18</v>
      </c>
      <c r="E47" s="71" t="s">
        <v>119</v>
      </c>
      <c r="F47" s="71" t="s">
        <v>21</v>
      </c>
      <c r="G47" s="71"/>
      <c r="H47" s="73" t="s">
        <v>120</v>
      </c>
      <c r="I47" s="72">
        <v>46160</v>
      </c>
      <c r="J47" s="71"/>
      <c r="K47" s="73" t="s">
        <v>97</v>
      </c>
      <c r="L47" s="71"/>
      <c r="M47" s="122"/>
      <c r="N47" s="132"/>
      <c r="O47" s="36"/>
    </row>
    <row r="48" spans="1:15" ht="16" hidden="1">
      <c r="A48" s="35"/>
      <c r="B48" s="102" t="s">
        <v>122</v>
      </c>
      <c r="C48" s="103" t="s">
        <v>17</v>
      </c>
      <c r="D48" s="103" t="s">
        <v>65</v>
      </c>
      <c r="E48" s="103" t="s">
        <v>82</v>
      </c>
      <c r="F48" s="103"/>
      <c r="G48" s="103" t="s">
        <v>21</v>
      </c>
      <c r="H48" s="121" t="s">
        <v>123</v>
      </c>
      <c r="I48" s="105">
        <v>46169</v>
      </c>
      <c r="J48" s="103" t="s">
        <v>24</v>
      </c>
      <c r="K48" s="104" t="s">
        <v>124</v>
      </c>
      <c r="L48" s="103" t="s">
        <v>51</v>
      </c>
      <c r="M48" s="100"/>
      <c r="N48" s="132"/>
      <c r="O48" s="36"/>
    </row>
    <row r="49" spans="1:14" ht="17" hidden="1">
      <c r="A49" s="1" t="s">
        <v>0</v>
      </c>
      <c r="B49" s="102" t="s">
        <v>125</v>
      </c>
      <c r="C49" s="103" t="s">
        <v>17</v>
      </c>
      <c r="D49" s="103" t="s">
        <v>65</v>
      </c>
      <c r="E49" s="103" t="s">
        <v>82</v>
      </c>
      <c r="F49" s="103"/>
      <c r="G49" s="103" t="s">
        <v>21</v>
      </c>
      <c r="H49" s="121" t="s">
        <v>123</v>
      </c>
      <c r="I49" s="105">
        <v>46169</v>
      </c>
      <c r="J49" s="103" t="s">
        <v>24</v>
      </c>
      <c r="K49" s="104" t="s">
        <v>124</v>
      </c>
      <c r="L49" s="103" t="s">
        <v>51</v>
      </c>
      <c r="M49" s="100"/>
      <c r="N49" s="132" t="s">
        <v>0</v>
      </c>
    </row>
    <row r="50" spans="1:14" ht="17" hidden="1">
      <c r="A50" s="1" t="s">
        <v>0</v>
      </c>
      <c r="B50" s="102" t="s">
        <v>126</v>
      </c>
      <c r="C50" s="103" t="s">
        <v>17</v>
      </c>
      <c r="D50" s="103" t="s">
        <v>65</v>
      </c>
      <c r="E50" s="103" t="s">
        <v>82</v>
      </c>
      <c r="F50" s="103"/>
      <c r="G50" s="103" t="s">
        <v>21</v>
      </c>
      <c r="H50" s="121" t="s">
        <v>123</v>
      </c>
      <c r="I50" s="105">
        <v>46169</v>
      </c>
      <c r="J50" s="103" t="s">
        <v>24</v>
      </c>
      <c r="K50" s="104" t="s">
        <v>124</v>
      </c>
      <c r="L50" s="103" t="s">
        <v>51</v>
      </c>
      <c r="M50" s="100"/>
      <c r="N50" s="132"/>
    </row>
    <row r="51" spans="1:14" ht="16" hidden="1">
      <c r="A51" s="101"/>
      <c r="B51" s="102" t="s">
        <v>127</v>
      </c>
      <c r="C51" s="103" t="s">
        <v>41</v>
      </c>
      <c r="D51" s="103" t="s">
        <v>18</v>
      </c>
      <c r="E51" s="103" t="s">
        <v>128</v>
      </c>
      <c r="F51" s="119" t="s">
        <v>82</v>
      </c>
      <c r="G51" s="119" t="s">
        <v>64</v>
      </c>
      <c r="H51" s="121" t="s">
        <v>129</v>
      </c>
      <c r="I51" s="105">
        <v>46174</v>
      </c>
      <c r="J51" s="103" t="s">
        <v>26</v>
      </c>
      <c r="K51" s="104" t="s">
        <v>130</v>
      </c>
      <c r="L51" s="103" t="s">
        <v>51</v>
      </c>
      <c r="M51" s="103" t="s">
        <v>131</v>
      </c>
      <c r="N51" s="132"/>
    </row>
    <row r="52" spans="1:14" ht="16" hidden="1">
      <c r="A52" s="101"/>
      <c r="B52" s="102" t="s">
        <v>132</v>
      </c>
      <c r="C52" s="103" t="s">
        <v>41</v>
      </c>
      <c r="D52" s="103" t="s">
        <v>18</v>
      </c>
      <c r="E52" s="103" t="s">
        <v>128</v>
      </c>
      <c r="F52" s="119" t="s">
        <v>82</v>
      </c>
      <c r="G52" s="119" t="s">
        <v>64</v>
      </c>
      <c r="H52" s="120" t="s">
        <v>133</v>
      </c>
      <c r="I52" s="105">
        <v>46174</v>
      </c>
      <c r="J52" s="103" t="s">
        <v>26</v>
      </c>
      <c r="K52" s="104" t="s">
        <v>130</v>
      </c>
      <c r="L52" s="103" t="s">
        <v>51</v>
      </c>
      <c r="M52" s="103" t="s">
        <v>134</v>
      </c>
      <c r="N52" s="132"/>
    </row>
    <row r="53" spans="1:14" ht="32" hidden="1">
      <c r="A53" s="101"/>
      <c r="B53" s="102" t="s">
        <v>135</v>
      </c>
      <c r="C53" s="103" t="s">
        <v>41</v>
      </c>
      <c r="D53" s="103" t="s">
        <v>18</v>
      </c>
      <c r="E53" s="103" t="s">
        <v>136</v>
      </c>
      <c r="F53" s="119" t="s">
        <v>82</v>
      </c>
      <c r="G53" s="119" t="s">
        <v>64</v>
      </c>
      <c r="H53" s="121" t="s">
        <v>244</v>
      </c>
      <c r="I53" s="105">
        <v>46174</v>
      </c>
      <c r="J53" s="103" t="s">
        <v>24</v>
      </c>
      <c r="K53" s="104" t="s">
        <v>137</v>
      </c>
      <c r="L53" s="103" t="s">
        <v>26</v>
      </c>
      <c r="M53" s="103" t="s">
        <v>138</v>
      </c>
      <c r="N53" s="132"/>
    </row>
    <row r="54" spans="1:14" ht="16" hidden="1">
      <c r="A54" s="101"/>
      <c r="B54" s="115" t="s">
        <v>139</v>
      </c>
      <c r="C54" s="116" t="s">
        <v>41</v>
      </c>
      <c r="D54" s="116" t="s">
        <v>18</v>
      </c>
      <c r="E54" s="116" t="s">
        <v>42</v>
      </c>
      <c r="F54" s="124" t="s">
        <v>66</v>
      </c>
      <c r="G54" s="124" t="s">
        <v>140</v>
      </c>
      <c r="H54" s="120" t="s">
        <v>141</v>
      </c>
      <c r="I54" s="118">
        <v>46175</v>
      </c>
      <c r="J54" s="116" t="s">
        <v>26</v>
      </c>
      <c r="K54" s="117" t="s">
        <v>142</v>
      </c>
      <c r="L54" s="116" t="s">
        <v>26</v>
      </c>
      <c r="M54" s="125" t="s">
        <v>143</v>
      </c>
      <c r="N54" s="132"/>
    </row>
    <row r="55" spans="1:14" ht="16" hidden="1">
      <c r="A55" s="101"/>
      <c r="B55" s="115" t="s">
        <v>144</v>
      </c>
      <c r="C55" s="116" t="s">
        <v>41</v>
      </c>
      <c r="D55" s="116" t="s">
        <v>18</v>
      </c>
      <c r="E55" s="116" t="s">
        <v>42</v>
      </c>
      <c r="F55" s="124" t="s">
        <v>66</v>
      </c>
      <c r="G55" s="124" t="s">
        <v>140</v>
      </c>
      <c r="H55" s="120" t="s">
        <v>145</v>
      </c>
      <c r="I55" s="118">
        <v>46175</v>
      </c>
      <c r="J55" s="116" t="s">
        <v>26</v>
      </c>
      <c r="K55" s="117" t="s">
        <v>142</v>
      </c>
      <c r="L55" s="116" t="s">
        <v>26</v>
      </c>
      <c r="M55" s="126" t="s">
        <v>143</v>
      </c>
      <c r="N55" s="132"/>
    </row>
    <row r="56" spans="1:14" ht="17" hidden="1" thickBot="1">
      <c r="A56" s="58"/>
      <c r="B56" s="64" t="s">
        <v>146</v>
      </c>
      <c r="C56" s="65" t="s">
        <v>147</v>
      </c>
      <c r="D56" s="65" t="s">
        <v>18</v>
      </c>
      <c r="E56" s="65" t="s">
        <v>148</v>
      </c>
      <c r="F56" s="65" t="s">
        <v>66</v>
      </c>
      <c r="G56" s="65" t="s">
        <v>149</v>
      </c>
      <c r="H56" s="146" t="s">
        <v>150</v>
      </c>
      <c r="I56" s="67">
        <v>46189</v>
      </c>
      <c r="J56" s="65" t="s">
        <v>26</v>
      </c>
      <c r="K56" s="66" t="s">
        <v>151</v>
      </c>
      <c r="L56" s="65" t="s">
        <v>51</v>
      </c>
      <c r="M56" s="65" t="s">
        <v>152</v>
      </c>
      <c r="N56" s="129"/>
    </row>
    <row r="57" spans="1:14" ht="16" hidden="1">
      <c r="A57" s="58"/>
      <c r="B57" s="155" t="s">
        <v>31</v>
      </c>
      <c r="C57" s="156" t="s">
        <v>17</v>
      </c>
      <c r="D57" s="156" t="s">
        <v>73</v>
      </c>
      <c r="E57" s="156" t="s">
        <v>153</v>
      </c>
      <c r="F57" s="156" t="s">
        <v>153</v>
      </c>
      <c r="G57" s="156" t="s">
        <v>140</v>
      </c>
      <c r="H57" s="157" t="s">
        <v>154</v>
      </c>
      <c r="I57" s="158">
        <v>46195</v>
      </c>
      <c r="J57" s="65" t="s">
        <v>26</v>
      </c>
      <c r="K57" s="149" t="s">
        <v>155</v>
      </c>
      <c r="L57" s="159" t="s">
        <v>24</v>
      </c>
      <c r="M57" s="160" t="s">
        <v>156</v>
      </c>
      <c r="N57" s="129"/>
    </row>
    <row r="58" spans="1:14" ht="16" hidden="1">
      <c r="A58" s="58"/>
      <c r="B58" s="138" t="s">
        <v>157</v>
      </c>
      <c r="C58" s="65" t="s">
        <v>41</v>
      </c>
      <c r="D58" s="65" t="s">
        <v>18</v>
      </c>
      <c r="E58" s="65" t="s">
        <v>158</v>
      </c>
      <c r="F58" s="65" t="s">
        <v>49</v>
      </c>
      <c r="G58" s="65" t="s">
        <v>140</v>
      </c>
      <c r="H58" s="148" t="s">
        <v>159</v>
      </c>
      <c r="I58" s="67">
        <v>46197</v>
      </c>
      <c r="J58" s="65" t="s">
        <v>26</v>
      </c>
      <c r="K58" s="149" t="s">
        <v>30</v>
      </c>
      <c r="L58" s="65"/>
      <c r="M58" s="150"/>
      <c r="N58" s="129"/>
    </row>
    <row r="59" spans="1:14" ht="16" hidden="1">
      <c r="A59" s="58"/>
      <c r="B59" s="151" t="s">
        <v>160</v>
      </c>
      <c r="C59" s="152" t="s">
        <v>41</v>
      </c>
      <c r="D59" s="152"/>
      <c r="E59" s="152" t="s">
        <v>82</v>
      </c>
      <c r="F59" s="152" t="s">
        <v>149</v>
      </c>
      <c r="G59" s="152"/>
      <c r="H59" s="146" t="s">
        <v>161</v>
      </c>
      <c r="I59" s="153">
        <v>46195</v>
      </c>
      <c r="J59" s="154"/>
      <c r="K59" s="66" t="s">
        <v>162</v>
      </c>
      <c r="L59" s="152"/>
      <c r="M59" s="152"/>
      <c r="N59" s="129"/>
    </row>
    <row r="60" spans="1:14" ht="16">
      <c r="A60" s="58"/>
      <c r="B60" s="167" t="s">
        <v>163</v>
      </c>
      <c r="C60" s="166"/>
      <c r="D60" s="166"/>
      <c r="E60" s="168" t="s">
        <v>66</v>
      </c>
      <c r="F60" s="169" t="s">
        <v>21</v>
      </c>
      <c r="G60" s="170">
        <v>46197</v>
      </c>
      <c r="H60" s="171" t="s">
        <v>248</v>
      </c>
      <c r="I60" s="170">
        <v>46196</v>
      </c>
      <c r="J60" s="172"/>
      <c r="K60" s="173" t="s">
        <v>164</v>
      </c>
      <c r="L60" s="169" t="s">
        <v>51</v>
      </c>
      <c r="M60" s="169" t="s">
        <v>165</v>
      </c>
      <c r="N60" s="129"/>
    </row>
    <row r="61" spans="1:14" ht="16" hidden="1">
      <c r="A61" s="58"/>
      <c r="B61" s="144" t="s">
        <v>166</v>
      </c>
      <c r="C61" s="94" t="s">
        <v>41</v>
      </c>
      <c r="D61" s="94"/>
      <c r="E61" s="94" t="s">
        <v>167</v>
      </c>
      <c r="F61" s="94" t="s">
        <v>149</v>
      </c>
      <c r="G61" s="145">
        <v>46197</v>
      </c>
      <c r="H61" s="146" t="s">
        <v>168</v>
      </c>
      <c r="I61" s="67">
        <v>46198</v>
      </c>
      <c r="J61" s="65"/>
      <c r="K61" s="66" t="s">
        <v>169</v>
      </c>
      <c r="L61" s="65"/>
      <c r="M61" s="147"/>
      <c r="N61" s="129"/>
    </row>
    <row r="62" spans="1:14" ht="32">
      <c r="A62" s="58"/>
      <c r="B62" s="138" t="s">
        <v>166</v>
      </c>
      <c r="C62" s="65" t="s">
        <v>41</v>
      </c>
      <c r="D62" s="65" t="s">
        <v>18</v>
      </c>
      <c r="E62" s="65" t="s">
        <v>42</v>
      </c>
      <c r="F62" s="65" t="s">
        <v>49</v>
      </c>
      <c r="G62" s="65" t="s">
        <v>170</v>
      </c>
      <c r="H62" s="161" t="s">
        <v>268</v>
      </c>
      <c r="I62" s="67">
        <v>46197</v>
      </c>
      <c r="J62" s="65" t="s">
        <v>24</v>
      </c>
      <c r="K62" s="149" t="s">
        <v>171</v>
      </c>
      <c r="L62" s="65"/>
      <c r="M62" s="150" t="s">
        <v>172</v>
      </c>
      <c r="N62" s="129"/>
    </row>
    <row r="63" spans="1:14" ht="32">
      <c r="A63" s="58"/>
      <c r="B63" s="138" t="s">
        <v>173</v>
      </c>
      <c r="C63" s="65" t="s">
        <v>41</v>
      </c>
      <c r="D63" s="65" t="s">
        <v>18</v>
      </c>
      <c r="E63" s="65" t="s">
        <v>42</v>
      </c>
      <c r="F63" s="65" t="s">
        <v>49</v>
      </c>
      <c r="G63" s="65" t="s">
        <v>170</v>
      </c>
      <c r="H63" s="161" t="s">
        <v>269</v>
      </c>
      <c r="I63" s="67">
        <v>46197</v>
      </c>
      <c r="J63" s="65" t="s">
        <v>24</v>
      </c>
      <c r="K63" s="149" t="s">
        <v>174</v>
      </c>
      <c r="L63" s="65"/>
      <c r="M63" s="150" t="s">
        <v>172</v>
      </c>
      <c r="N63" s="129"/>
    </row>
    <row r="64" spans="1:14" ht="16">
      <c r="A64" s="58"/>
      <c r="B64" s="138" t="s">
        <v>175</v>
      </c>
      <c r="C64" s="65" t="s">
        <v>17</v>
      </c>
      <c r="D64" s="65" t="s">
        <v>18</v>
      </c>
      <c r="E64" s="65" t="s">
        <v>42</v>
      </c>
      <c r="F64" s="65" t="s">
        <v>176</v>
      </c>
      <c r="G64" s="65" t="s">
        <v>170</v>
      </c>
      <c r="H64" s="148" t="s">
        <v>264</v>
      </c>
      <c r="I64" s="67">
        <v>46199</v>
      </c>
      <c r="J64" s="65" t="s">
        <v>24</v>
      </c>
      <c r="K64" s="149" t="s">
        <v>177</v>
      </c>
      <c r="L64" s="65"/>
      <c r="M64" s="150" t="s">
        <v>178</v>
      </c>
      <c r="N64" s="129"/>
    </row>
    <row r="65" spans="1:14" ht="16">
      <c r="A65" s="58"/>
      <c r="B65" s="138" t="s">
        <v>179</v>
      </c>
      <c r="C65" s="65" t="s">
        <v>17</v>
      </c>
      <c r="D65" s="65" t="s">
        <v>18</v>
      </c>
      <c r="E65" s="65" t="s">
        <v>42</v>
      </c>
      <c r="F65" s="65" t="s">
        <v>176</v>
      </c>
      <c r="G65" s="65" t="s">
        <v>170</v>
      </c>
      <c r="H65" s="148" t="s">
        <v>265</v>
      </c>
      <c r="I65" s="67">
        <v>46199</v>
      </c>
      <c r="J65" s="65" t="s">
        <v>24</v>
      </c>
      <c r="K65" s="149" t="s">
        <v>177</v>
      </c>
      <c r="L65" s="65"/>
      <c r="M65" s="150" t="s">
        <v>178</v>
      </c>
      <c r="N65" s="129"/>
    </row>
    <row r="66" spans="1:14" ht="16" hidden="1">
      <c r="A66" s="58"/>
      <c r="B66" s="138" t="s">
        <v>180</v>
      </c>
      <c r="C66" s="65" t="s">
        <v>17</v>
      </c>
      <c r="D66" s="139" t="s">
        <v>18</v>
      </c>
      <c r="E66" s="139" t="s">
        <v>103</v>
      </c>
      <c r="F66" s="139" t="s">
        <v>112</v>
      </c>
      <c r="G66" s="139" t="s">
        <v>170</v>
      </c>
      <c r="H66" s="140" t="s">
        <v>181</v>
      </c>
      <c r="I66" s="141">
        <v>46199</v>
      </c>
      <c r="J66" s="139" t="s">
        <v>24</v>
      </c>
      <c r="K66" s="142" t="s">
        <v>177</v>
      </c>
      <c r="L66" s="139"/>
      <c r="M66" s="143" t="s">
        <v>182</v>
      </c>
      <c r="N66" s="129"/>
    </row>
    <row r="67" spans="1:14" ht="16">
      <c r="A67" s="58"/>
      <c r="B67" s="234" t="s">
        <v>183</v>
      </c>
      <c r="C67" s="235" t="s">
        <v>17</v>
      </c>
      <c r="D67" s="235" t="s">
        <v>18</v>
      </c>
      <c r="E67" s="235" t="s">
        <v>112</v>
      </c>
      <c r="F67" s="235" t="s">
        <v>176</v>
      </c>
      <c r="G67" s="236" t="s">
        <v>21</v>
      </c>
      <c r="H67" s="237" t="s">
        <v>266</v>
      </c>
      <c r="I67" s="236">
        <v>46204</v>
      </c>
      <c r="J67" s="235" t="s">
        <v>24</v>
      </c>
      <c r="K67" s="238" t="s">
        <v>177</v>
      </c>
      <c r="L67" s="235" t="s">
        <v>51</v>
      </c>
      <c r="M67" s="239" t="s">
        <v>184</v>
      </c>
      <c r="N67" s="129"/>
    </row>
    <row r="68" spans="1:14" ht="16">
      <c r="A68" s="58"/>
      <c r="B68" s="234" t="s">
        <v>185</v>
      </c>
      <c r="C68" s="235" t="s">
        <v>17</v>
      </c>
      <c r="D68" s="235" t="s">
        <v>18</v>
      </c>
      <c r="E68" s="235" t="s">
        <v>158</v>
      </c>
      <c r="F68" s="235" t="s">
        <v>176</v>
      </c>
      <c r="G68" s="236" t="s">
        <v>21</v>
      </c>
      <c r="H68" s="237" t="s">
        <v>263</v>
      </c>
      <c r="I68" s="236">
        <v>46204</v>
      </c>
      <c r="J68" s="235" t="s">
        <v>24</v>
      </c>
      <c r="K68" s="238" t="s">
        <v>186</v>
      </c>
      <c r="L68" s="235" t="s">
        <v>51</v>
      </c>
      <c r="M68" s="239" t="s">
        <v>184</v>
      </c>
      <c r="N68" s="129"/>
    </row>
    <row r="69" spans="1:14" ht="48">
      <c r="A69" s="58"/>
      <c r="B69" s="240" t="s">
        <v>187</v>
      </c>
      <c r="C69" s="239" t="s">
        <v>41</v>
      </c>
      <c r="D69" s="239" t="s">
        <v>73</v>
      </c>
      <c r="E69" s="239" t="s">
        <v>188</v>
      </c>
      <c r="F69" s="239" t="s">
        <v>176</v>
      </c>
      <c r="G69" s="241" t="s">
        <v>21</v>
      </c>
      <c r="H69" s="174" t="s">
        <v>267</v>
      </c>
      <c r="I69" s="242">
        <v>46204</v>
      </c>
      <c r="J69" s="239" t="s">
        <v>24</v>
      </c>
      <c r="K69" s="243" t="s">
        <v>189</v>
      </c>
      <c r="L69" s="239" t="s">
        <v>51</v>
      </c>
      <c r="M69" s="239" t="s">
        <v>190</v>
      </c>
      <c r="N69" s="129"/>
    </row>
    <row r="70" spans="1:14" ht="16">
      <c r="A70" s="58"/>
      <c r="B70" s="234" t="s">
        <v>191</v>
      </c>
      <c r="C70" s="235" t="s">
        <v>41</v>
      </c>
      <c r="D70" s="235" t="s">
        <v>73</v>
      </c>
      <c r="E70" s="235" t="s">
        <v>188</v>
      </c>
      <c r="F70" s="235" t="s">
        <v>176</v>
      </c>
      <c r="G70" s="236" t="s">
        <v>21</v>
      </c>
      <c r="H70" s="244" t="s">
        <v>271</v>
      </c>
      <c r="I70" s="236">
        <v>46204</v>
      </c>
      <c r="J70" s="235" t="s">
        <v>24</v>
      </c>
      <c r="K70" s="238" t="s">
        <v>177</v>
      </c>
      <c r="L70" s="235" t="s">
        <v>51</v>
      </c>
      <c r="M70" s="235" t="s">
        <v>190</v>
      </c>
      <c r="N70" s="129"/>
    </row>
    <row r="71" spans="1:14" ht="16">
      <c r="A71" s="58"/>
      <c r="B71" s="245" t="s">
        <v>192</v>
      </c>
      <c r="C71" s="246" t="s">
        <v>41</v>
      </c>
      <c r="D71" s="246" t="s">
        <v>18</v>
      </c>
      <c r="E71" s="246" t="s">
        <v>42</v>
      </c>
      <c r="F71" s="246" t="s">
        <v>43</v>
      </c>
      <c r="G71" s="247" t="s">
        <v>44</v>
      </c>
      <c r="H71" s="248" t="s">
        <v>270</v>
      </c>
      <c r="I71" s="247">
        <v>46205</v>
      </c>
      <c r="J71" s="246" t="s">
        <v>24</v>
      </c>
      <c r="K71" s="249" t="s">
        <v>193</v>
      </c>
      <c r="L71" s="235" t="s">
        <v>26</v>
      </c>
      <c r="M71" s="246" t="s">
        <v>194</v>
      </c>
      <c r="N71" s="129"/>
    </row>
    <row r="72" spans="1:14" ht="32">
      <c r="A72" s="58"/>
      <c r="B72" s="250" t="s">
        <v>195</v>
      </c>
      <c r="C72" s="246" t="s">
        <v>167</v>
      </c>
      <c r="D72" s="246" t="s">
        <v>167</v>
      </c>
      <c r="E72" s="246" t="s">
        <v>196</v>
      </c>
      <c r="F72" s="246" t="s">
        <v>167</v>
      </c>
      <c r="G72" s="251" t="s">
        <v>29</v>
      </c>
      <c r="H72" s="252" t="s">
        <v>273</v>
      </c>
      <c r="I72" s="247" t="s">
        <v>66</v>
      </c>
      <c r="J72" s="247" t="s">
        <v>167</v>
      </c>
      <c r="K72" s="249" t="s">
        <v>197</v>
      </c>
      <c r="L72" s="253"/>
      <c r="M72" s="254" t="s">
        <v>198</v>
      </c>
      <c r="N72" s="129"/>
    </row>
    <row r="73" spans="1:14" ht="16">
      <c r="A73" s="58"/>
      <c r="B73" s="255" t="s">
        <v>40</v>
      </c>
      <c r="C73" s="256" t="s">
        <v>41</v>
      </c>
      <c r="D73" s="256" t="s">
        <v>18</v>
      </c>
      <c r="E73" s="256" t="s">
        <v>42</v>
      </c>
      <c r="F73" s="256" t="s">
        <v>43</v>
      </c>
      <c r="G73" s="257" t="s">
        <v>44</v>
      </c>
      <c r="H73" s="258" t="s">
        <v>272</v>
      </c>
      <c r="I73" s="257">
        <v>46205</v>
      </c>
      <c r="J73" s="256" t="s">
        <v>24</v>
      </c>
      <c r="K73" s="259" t="s">
        <v>193</v>
      </c>
      <c r="L73" s="256" t="s">
        <v>26</v>
      </c>
      <c r="M73" s="256" t="s">
        <v>199</v>
      </c>
      <c r="N73" s="129"/>
    </row>
    <row r="74" spans="1:14" ht="16">
      <c r="A74" s="58"/>
      <c r="B74" s="255" t="s">
        <v>40</v>
      </c>
      <c r="C74" s="256" t="s">
        <v>41</v>
      </c>
      <c r="D74" s="256" t="s">
        <v>18</v>
      </c>
      <c r="E74" s="256" t="s">
        <v>42</v>
      </c>
      <c r="F74" s="256" t="s">
        <v>43</v>
      </c>
      <c r="G74" s="257" t="s">
        <v>44</v>
      </c>
      <c r="H74" s="258" t="s">
        <v>277</v>
      </c>
      <c r="I74" s="257">
        <v>46205</v>
      </c>
      <c r="J74" s="256" t="s">
        <v>24</v>
      </c>
      <c r="K74" s="259" t="s">
        <v>45</v>
      </c>
      <c r="L74" s="256" t="s">
        <v>26</v>
      </c>
      <c r="M74" s="256" t="s">
        <v>46</v>
      </c>
      <c r="N74" s="129"/>
    </row>
    <row r="75" spans="1:14" ht="16">
      <c r="A75" s="58"/>
      <c r="B75" s="255" t="s">
        <v>47</v>
      </c>
      <c r="C75" s="256" t="s">
        <v>17</v>
      </c>
      <c r="D75" s="256"/>
      <c r="E75" s="256" t="s">
        <v>48</v>
      </c>
      <c r="F75" s="256" t="s">
        <v>49</v>
      </c>
      <c r="G75" s="257"/>
      <c r="H75" s="258" t="s">
        <v>274</v>
      </c>
      <c r="I75" s="257">
        <v>46210</v>
      </c>
      <c r="J75" s="256" t="s">
        <v>26</v>
      </c>
      <c r="K75" s="259" t="s">
        <v>50</v>
      </c>
      <c r="L75" s="256" t="s">
        <v>51</v>
      </c>
      <c r="M75" s="256" t="s">
        <v>52</v>
      </c>
      <c r="N75" s="129"/>
    </row>
    <row r="76" spans="1:14" ht="16">
      <c r="A76" s="58"/>
      <c r="B76" s="230" t="s">
        <v>16</v>
      </c>
      <c r="C76" s="175" t="s">
        <v>41</v>
      </c>
      <c r="D76" s="175" t="s">
        <v>18</v>
      </c>
      <c r="E76" s="175" t="s">
        <v>19</v>
      </c>
      <c r="F76" s="175" t="s">
        <v>20</v>
      </c>
      <c r="G76" s="163" t="s">
        <v>21</v>
      </c>
      <c r="H76" s="218" t="s">
        <v>252</v>
      </c>
      <c r="I76" s="176">
        <v>46205</v>
      </c>
      <c r="J76" s="176" t="s">
        <v>22</v>
      </c>
      <c r="K76" s="219" t="s">
        <v>23</v>
      </c>
      <c r="L76" s="175" t="s">
        <v>24</v>
      </c>
      <c r="M76" s="175" t="s">
        <v>25</v>
      </c>
      <c r="N76" s="129"/>
    </row>
    <row r="77" spans="1:14" ht="16">
      <c r="A77" s="58"/>
      <c r="B77" s="255" t="s">
        <v>31</v>
      </c>
      <c r="C77" s="239" t="s">
        <v>17</v>
      </c>
      <c r="D77" s="239" t="s">
        <v>18</v>
      </c>
      <c r="E77" s="239" t="s">
        <v>28</v>
      </c>
      <c r="F77" s="239" t="s">
        <v>28</v>
      </c>
      <c r="G77" s="241" t="s">
        <v>21</v>
      </c>
      <c r="H77" s="258" t="s">
        <v>275</v>
      </c>
      <c r="I77" s="242">
        <v>46209</v>
      </c>
      <c r="J77" s="239" t="s">
        <v>26</v>
      </c>
      <c r="K77" s="260" t="s">
        <v>32</v>
      </c>
      <c r="L77" s="239" t="s">
        <v>24</v>
      </c>
      <c r="M77" s="239" t="s">
        <v>33</v>
      </c>
      <c r="N77" s="129"/>
    </row>
    <row r="78" spans="1:14" ht="17">
      <c r="A78" s="58"/>
      <c r="B78" s="255" t="s">
        <v>245</v>
      </c>
      <c r="C78" s="239" t="s">
        <v>41</v>
      </c>
      <c r="D78" s="239" t="s">
        <v>18</v>
      </c>
      <c r="E78" s="239" t="s">
        <v>246</v>
      </c>
      <c r="F78" s="239" t="s">
        <v>82</v>
      </c>
      <c r="G78" s="241" t="s">
        <v>247</v>
      </c>
      <c r="H78" s="261" t="s">
        <v>276</v>
      </c>
      <c r="I78" s="242">
        <v>46211</v>
      </c>
      <c r="J78" s="239" t="s">
        <v>26</v>
      </c>
      <c r="K78" s="260" t="s">
        <v>27</v>
      </c>
      <c r="L78" s="239" t="s">
        <v>51</v>
      </c>
      <c r="M78" s="239"/>
      <c r="N78" s="128" t="s">
        <v>0</v>
      </c>
    </row>
    <row r="79" spans="1:14" ht="17">
      <c r="A79" s="1" t="s">
        <v>0</v>
      </c>
      <c r="B79" s="268" t="s">
        <v>279</v>
      </c>
      <c r="C79" s="267" t="s">
        <v>17</v>
      </c>
      <c r="D79" s="162" t="s">
        <v>289</v>
      </c>
      <c r="E79" s="162" t="s">
        <v>28</v>
      </c>
      <c r="F79" s="162" t="s">
        <v>28</v>
      </c>
      <c r="G79" s="163" t="s">
        <v>140</v>
      </c>
      <c r="H79" s="232" t="s">
        <v>292</v>
      </c>
      <c r="I79" s="164">
        <v>46213</v>
      </c>
      <c r="J79" s="162" t="s">
        <v>26</v>
      </c>
      <c r="K79" s="220" t="s">
        <v>290</v>
      </c>
      <c r="L79" s="162" t="s">
        <v>24</v>
      </c>
      <c r="M79" s="162" t="s">
        <v>291</v>
      </c>
      <c r="N79" s="128" t="s">
        <v>0</v>
      </c>
    </row>
    <row r="80" spans="1:14" ht="17">
      <c r="A80" s="1" t="s">
        <v>0</v>
      </c>
      <c r="B80" s="175" t="s">
        <v>95</v>
      </c>
      <c r="C80" s="162" t="s">
        <v>41</v>
      </c>
      <c r="D80" s="162" t="s">
        <v>18</v>
      </c>
      <c r="E80" s="162" t="s">
        <v>42</v>
      </c>
      <c r="F80" s="162" t="s">
        <v>49</v>
      </c>
      <c r="G80" s="163" t="s">
        <v>21</v>
      </c>
      <c r="H80" s="232" t="s">
        <v>293</v>
      </c>
      <c r="I80" s="164">
        <v>46211</v>
      </c>
      <c r="J80" s="162" t="s">
        <v>24</v>
      </c>
      <c r="K80" s="269" t="s">
        <v>262</v>
      </c>
      <c r="L80" s="162" t="s">
        <v>51</v>
      </c>
      <c r="M80" s="162" t="s">
        <v>261</v>
      </c>
      <c r="N80" s="128" t="s">
        <v>0</v>
      </c>
    </row>
    <row r="81" spans="1:14" ht="17">
      <c r="A81" s="1" t="s">
        <v>0</v>
      </c>
      <c r="B81" s="175" t="s">
        <v>253</v>
      </c>
      <c r="C81" s="162" t="s">
        <v>17</v>
      </c>
      <c r="D81" s="162" t="s">
        <v>18</v>
      </c>
      <c r="E81" s="162" t="s">
        <v>254</v>
      </c>
      <c r="F81" s="162" t="s">
        <v>49</v>
      </c>
      <c r="G81" s="163" t="s">
        <v>29</v>
      </c>
      <c r="H81" s="220" t="s">
        <v>278</v>
      </c>
      <c r="I81" s="164">
        <v>46213</v>
      </c>
      <c r="J81" s="162" t="s">
        <v>26</v>
      </c>
      <c r="K81" s="220" t="s">
        <v>255</v>
      </c>
      <c r="L81" s="162"/>
      <c r="M81" s="162"/>
      <c r="N81" s="128" t="s">
        <v>0</v>
      </c>
    </row>
    <row r="82" spans="1:14" ht="17">
      <c r="A82" s="1" t="s">
        <v>0</v>
      </c>
      <c r="B82" s="175" t="s">
        <v>256</v>
      </c>
      <c r="C82" s="162" t="s">
        <v>17</v>
      </c>
      <c r="D82" s="162" t="s">
        <v>18</v>
      </c>
      <c r="E82" s="162" t="s">
        <v>254</v>
      </c>
      <c r="F82" s="162" t="s">
        <v>49</v>
      </c>
      <c r="G82" s="163" t="s">
        <v>29</v>
      </c>
      <c r="H82" s="220" t="s">
        <v>278</v>
      </c>
      <c r="I82" s="164">
        <v>46213</v>
      </c>
      <c r="J82" s="162" t="s">
        <v>26</v>
      </c>
      <c r="K82" s="220" t="s">
        <v>255</v>
      </c>
      <c r="L82" s="162"/>
      <c r="M82" s="162"/>
      <c r="N82" s="128" t="s">
        <v>0</v>
      </c>
    </row>
    <row r="83" spans="1:14" ht="17">
      <c r="A83" s="1" t="s">
        <v>0</v>
      </c>
      <c r="B83" s="162" t="s">
        <v>279</v>
      </c>
      <c r="C83" s="162" t="s">
        <v>17</v>
      </c>
      <c r="D83" s="162" t="s">
        <v>18</v>
      </c>
      <c r="E83" s="162" t="s">
        <v>280</v>
      </c>
      <c r="F83" s="162" t="s">
        <v>49</v>
      </c>
      <c r="G83" s="162" t="s">
        <v>21</v>
      </c>
      <c r="H83" s="232" t="s">
        <v>292</v>
      </c>
      <c r="I83" s="164">
        <v>46213</v>
      </c>
      <c r="J83" s="162" t="s">
        <v>26</v>
      </c>
      <c r="K83" s="220" t="s">
        <v>281</v>
      </c>
      <c r="L83" s="162" t="s">
        <v>24</v>
      </c>
      <c r="M83" s="162" t="s">
        <v>282</v>
      </c>
      <c r="N83" s="128" t="s">
        <v>0</v>
      </c>
    </row>
    <row r="84" spans="1:14" ht="17">
      <c r="A84" s="1" t="s">
        <v>0</v>
      </c>
      <c r="B84" s="2" t="s">
        <v>0</v>
      </c>
      <c r="C84" s="3" t="s">
        <v>0</v>
      </c>
      <c r="D84" s="262"/>
      <c r="E84" s="262"/>
      <c r="F84" s="262"/>
      <c r="G84" s="263"/>
      <c r="H84" s="264"/>
      <c r="I84" s="265"/>
      <c r="J84" s="262"/>
      <c r="K84" s="266"/>
      <c r="L84" s="262"/>
      <c r="M84" s="262"/>
      <c r="N84" s="128" t="s">
        <v>0</v>
      </c>
    </row>
    <row r="85" spans="1:14" ht="17">
      <c r="A85" s="1" t="s">
        <v>0</v>
      </c>
      <c r="B85" s="2" t="s">
        <v>0</v>
      </c>
      <c r="C85" s="3" t="s">
        <v>0</v>
      </c>
      <c r="D85" s="262"/>
      <c r="E85" s="262"/>
      <c r="F85" s="262"/>
      <c r="G85" s="263"/>
      <c r="H85" s="264"/>
      <c r="I85" s="265"/>
      <c r="J85" s="262"/>
      <c r="K85" s="266"/>
      <c r="L85" s="262"/>
      <c r="M85" s="262"/>
      <c r="N85" s="128" t="s">
        <v>0</v>
      </c>
    </row>
    <row r="86" spans="1:14" ht="17">
      <c r="A86" s="1" t="s">
        <v>0</v>
      </c>
      <c r="B86" s="2" t="s">
        <v>0</v>
      </c>
      <c r="C86" s="3" t="s">
        <v>0</v>
      </c>
      <c r="D86" s="262"/>
      <c r="E86" s="262"/>
      <c r="F86" s="262"/>
      <c r="G86" s="263"/>
      <c r="H86" s="264"/>
      <c r="I86" s="265"/>
      <c r="J86" s="262"/>
      <c r="K86" s="266"/>
      <c r="L86" s="262"/>
      <c r="M86" s="262"/>
      <c r="N86" s="128" t="s">
        <v>0</v>
      </c>
    </row>
    <row r="87" spans="1:14" ht="17">
      <c r="A87" s="1" t="s">
        <v>0</v>
      </c>
      <c r="B87" s="2" t="s">
        <v>0</v>
      </c>
      <c r="C87" s="3" t="s">
        <v>0</v>
      </c>
      <c r="D87" s="262"/>
      <c r="E87" s="262"/>
      <c r="F87" s="262"/>
      <c r="G87" s="263"/>
      <c r="H87" s="264"/>
      <c r="I87" s="265"/>
      <c r="J87" s="262"/>
      <c r="K87" s="266"/>
      <c r="L87" s="262"/>
      <c r="M87" s="262"/>
      <c r="N87" s="128" t="s">
        <v>0</v>
      </c>
    </row>
    <row r="88" spans="1:14" ht="17">
      <c r="A88" s="1" t="s">
        <v>0</v>
      </c>
      <c r="B88" s="2" t="s">
        <v>0</v>
      </c>
      <c r="C88" s="3" t="s">
        <v>0</v>
      </c>
      <c r="D88" s="262"/>
      <c r="E88" s="262"/>
      <c r="F88" s="262"/>
      <c r="G88" s="263"/>
      <c r="H88" s="264"/>
      <c r="I88" s="265"/>
      <c r="J88" s="262"/>
      <c r="K88" s="266"/>
      <c r="L88" s="262"/>
      <c r="M88" s="262"/>
      <c r="N88" s="128" t="s">
        <v>0</v>
      </c>
    </row>
    <row r="89" spans="1:14" ht="17">
      <c r="A89" s="1" t="s">
        <v>0</v>
      </c>
      <c r="B89" s="2" t="s">
        <v>0</v>
      </c>
      <c r="C89" s="3" t="s">
        <v>0</v>
      </c>
      <c r="D89" s="262"/>
      <c r="E89" s="262"/>
      <c r="F89" s="262"/>
      <c r="G89" s="263"/>
      <c r="H89" s="264"/>
      <c r="I89" s="265"/>
      <c r="J89" s="262"/>
      <c r="K89" s="266"/>
      <c r="L89" s="262"/>
      <c r="M89" s="262"/>
      <c r="N89" s="128" t="s">
        <v>0</v>
      </c>
    </row>
    <row r="90" spans="1:14" ht="17">
      <c r="A90" s="1" t="s">
        <v>0</v>
      </c>
      <c r="B90" s="2" t="s">
        <v>0</v>
      </c>
      <c r="C90" s="3" t="s">
        <v>0</v>
      </c>
      <c r="D90" s="262"/>
      <c r="E90" s="262"/>
      <c r="F90" s="262"/>
      <c r="G90" s="263"/>
      <c r="H90" s="264"/>
      <c r="I90" s="265"/>
      <c r="J90" s="262"/>
      <c r="K90" s="266"/>
      <c r="L90" s="262"/>
      <c r="M90" s="262"/>
      <c r="N90" s="128" t="s">
        <v>0</v>
      </c>
    </row>
    <row r="91" spans="1:14" ht="17">
      <c r="A91" s="1" t="s">
        <v>0</v>
      </c>
      <c r="B91" s="2" t="s">
        <v>0</v>
      </c>
      <c r="C91" s="3" t="s">
        <v>0</v>
      </c>
      <c r="D91" s="262"/>
      <c r="E91" s="262"/>
      <c r="F91" s="262"/>
      <c r="G91" s="263"/>
      <c r="H91" s="264"/>
      <c r="I91" s="265"/>
      <c r="J91" s="262"/>
      <c r="K91" s="266"/>
      <c r="L91" s="262"/>
      <c r="M91" s="262"/>
      <c r="N91" s="128" t="s">
        <v>0</v>
      </c>
    </row>
    <row r="92" spans="1:14" ht="17">
      <c r="A92" s="1" t="s">
        <v>0</v>
      </c>
      <c r="B92" s="2" t="s">
        <v>0</v>
      </c>
      <c r="C92" s="3" t="s">
        <v>0</v>
      </c>
      <c r="D92" s="262"/>
      <c r="E92" s="262"/>
      <c r="F92" s="262"/>
      <c r="G92" s="263"/>
      <c r="H92" s="264"/>
      <c r="I92" s="265"/>
      <c r="J92" s="262"/>
      <c r="K92" s="266"/>
      <c r="L92" s="262"/>
      <c r="M92" s="262"/>
      <c r="N92" s="128" t="s">
        <v>0</v>
      </c>
    </row>
    <row r="93" spans="1:14" ht="17">
      <c r="A93" s="1" t="s">
        <v>0</v>
      </c>
      <c r="B93" s="2" t="s">
        <v>0</v>
      </c>
      <c r="C93" s="3" t="s">
        <v>0</v>
      </c>
      <c r="D93" s="262"/>
      <c r="E93" s="262"/>
      <c r="F93" s="262"/>
      <c r="G93" s="263"/>
      <c r="H93" s="264"/>
      <c r="I93" s="265"/>
      <c r="J93" s="262"/>
      <c r="K93" s="266"/>
      <c r="L93" s="262"/>
      <c r="M93" s="262"/>
      <c r="N93" s="128" t="s">
        <v>0</v>
      </c>
    </row>
    <row r="94" spans="1:14" ht="17">
      <c r="A94" s="1" t="s">
        <v>0</v>
      </c>
      <c r="B94" s="2" t="s">
        <v>0</v>
      </c>
      <c r="C94" s="3" t="s">
        <v>0</v>
      </c>
      <c r="D94" s="262"/>
      <c r="E94" s="262"/>
      <c r="F94" s="262"/>
      <c r="G94" s="263"/>
      <c r="H94" s="264"/>
      <c r="I94" s="265"/>
      <c r="J94" s="262"/>
      <c r="K94" s="266"/>
      <c r="L94" s="262"/>
      <c r="M94" s="262"/>
      <c r="N94" s="128" t="s">
        <v>0</v>
      </c>
    </row>
    <row r="95" spans="1:14" ht="17">
      <c r="A95" s="1" t="s">
        <v>0</v>
      </c>
      <c r="B95" s="2" t="s">
        <v>0</v>
      </c>
      <c r="C95" s="3" t="s">
        <v>0</v>
      </c>
      <c r="D95" s="262"/>
      <c r="E95" s="262"/>
      <c r="F95" s="262"/>
      <c r="G95" s="263"/>
      <c r="H95" s="264"/>
      <c r="I95" s="265"/>
      <c r="J95" s="262"/>
      <c r="K95" s="266"/>
      <c r="L95" s="262"/>
      <c r="M95" s="262"/>
      <c r="N95" s="128" t="s">
        <v>0</v>
      </c>
    </row>
    <row r="96" spans="1:14" ht="17">
      <c r="A96" s="1" t="s">
        <v>0</v>
      </c>
      <c r="B96" s="2" t="s">
        <v>0</v>
      </c>
      <c r="C96" s="3" t="s">
        <v>0</v>
      </c>
      <c r="D96" s="262"/>
      <c r="E96" s="262"/>
      <c r="F96" s="262"/>
      <c r="G96" s="263"/>
      <c r="H96" s="264"/>
      <c r="I96" s="265"/>
      <c r="J96" s="262"/>
      <c r="K96" s="266"/>
      <c r="L96" s="262"/>
      <c r="M96" s="262"/>
      <c r="N96" s="128" t="s">
        <v>0</v>
      </c>
    </row>
    <row r="100" spans="1:3">
      <c r="A100" s="201" t="s">
        <v>200</v>
      </c>
      <c r="B100" s="99" t="s">
        <v>201</v>
      </c>
    </row>
    <row r="101" spans="1:3">
      <c r="A101" s="202"/>
      <c r="B101" s="98" t="s">
        <v>202</v>
      </c>
    </row>
    <row r="102" spans="1:3">
      <c r="A102" s="203"/>
      <c r="B102" s="100" t="s">
        <v>203</v>
      </c>
    </row>
    <row r="112" spans="1:3">
      <c r="C112">
        <f>3.75*7400</f>
        <v>27750</v>
      </c>
    </row>
    <row r="113" spans="3:5">
      <c r="C113">
        <f>C112/24.25</f>
        <v>1144.3298969072166</v>
      </c>
    </row>
    <row r="115" spans="3:5">
      <c r="E115">
        <v>3.8</v>
      </c>
    </row>
    <row r="116" spans="3:5">
      <c r="E116">
        <f>E115+0.65</f>
        <v>4.45</v>
      </c>
    </row>
    <row r="117" spans="3:5">
      <c r="E117">
        <v>3.6198999999999999</v>
      </c>
    </row>
    <row r="118" spans="3:5">
      <c r="E118">
        <f>E115-E117</f>
        <v>0.18009999999999993</v>
      </c>
    </row>
    <row r="119" spans="3:5">
      <c r="E119">
        <f>4.29+E118</f>
        <v>4.4701000000000004</v>
      </c>
    </row>
  </sheetData>
  <mergeCells count="16">
    <mergeCell ref="A100:A102"/>
    <mergeCell ref="B27:M27"/>
    <mergeCell ref="D28:E28"/>
    <mergeCell ref="D29:E29"/>
    <mergeCell ref="D30:E30"/>
    <mergeCell ref="B31:M31"/>
    <mergeCell ref="A1:N1"/>
    <mergeCell ref="K2:M4"/>
    <mergeCell ref="B5:M5"/>
    <mergeCell ref="B18:M18"/>
    <mergeCell ref="J19:K19"/>
    <mergeCell ref="B23:M23"/>
    <mergeCell ref="B2:J4"/>
    <mergeCell ref="I24:J24"/>
    <mergeCell ref="K24:M24"/>
    <mergeCell ref="F19:G19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AC61-EE6B-B14F-AE9D-DA90B114B7C8}">
  <dimension ref="A2:L41"/>
  <sheetViews>
    <sheetView workbookViewId="0">
      <selection activeCell="G8" sqref="G8"/>
    </sheetView>
  </sheetViews>
  <sheetFormatPr baseColWidth="10" defaultColWidth="11.5" defaultRowHeight="15"/>
  <sheetData>
    <row r="2" spans="1:9">
      <c r="A2" s="11"/>
      <c r="B2" s="11"/>
      <c r="C2" s="11"/>
      <c r="D2" s="11"/>
      <c r="E2" s="11"/>
      <c r="F2" s="11"/>
      <c r="G2" s="12"/>
      <c r="H2" s="12"/>
      <c r="I2" s="12"/>
    </row>
    <row r="3" spans="1:9" ht="19">
      <c r="A3" s="11"/>
      <c r="B3" s="11"/>
      <c r="C3" s="11"/>
      <c r="D3" s="11"/>
      <c r="E3" s="11"/>
      <c r="F3" s="11"/>
      <c r="G3" s="17" t="s">
        <v>204</v>
      </c>
      <c r="H3" s="12"/>
      <c r="I3" s="12"/>
    </row>
    <row r="4" spans="1:9" ht="16" thickBot="1">
      <c r="A4" s="11"/>
      <c r="B4" s="11"/>
      <c r="C4" s="11"/>
      <c r="D4" s="11"/>
      <c r="E4" s="11"/>
      <c r="F4" s="11"/>
      <c r="G4" s="18" t="s">
        <v>205</v>
      </c>
      <c r="H4" s="18" t="s">
        <v>206</v>
      </c>
      <c r="I4" s="12"/>
    </row>
    <row r="5" spans="1:9" ht="16" thickTop="1">
      <c r="A5" s="11"/>
      <c r="B5" s="213" t="s">
        <v>207</v>
      </c>
      <c r="C5" s="213"/>
      <c r="D5" s="213"/>
      <c r="E5" s="213"/>
      <c r="F5" s="11"/>
      <c r="G5" s="19" t="s">
        <v>208</v>
      </c>
      <c r="H5" s="19" t="s">
        <v>209</v>
      </c>
      <c r="I5" s="12"/>
    </row>
    <row r="6" spans="1:9">
      <c r="A6" s="11"/>
      <c r="B6" s="213"/>
      <c r="C6" s="213"/>
      <c r="D6" s="213"/>
      <c r="E6" s="213"/>
      <c r="F6" s="11"/>
      <c r="G6" s="12"/>
      <c r="H6" s="12"/>
      <c r="I6" s="12"/>
    </row>
    <row r="7" spans="1:9">
      <c r="A7" s="11"/>
      <c r="B7" s="11"/>
      <c r="C7" s="11"/>
      <c r="D7" s="11"/>
      <c r="E7" s="11"/>
      <c r="F7" s="11"/>
      <c r="G7" s="12"/>
      <c r="H7" s="12"/>
      <c r="I7" s="12"/>
    </row>
    <row r="8" spans="1:9">
      <c r="A8" s="11"/>
      <c r="B8" s="11"/>
      <c r="C8" s="11"/>
      <c r="D8" s="11"/>
      <c r="E8" s="11"/>
      <c r="F8" s="11"/>
      <c r="G8" s="12"/>
      <c r="H8" s="12"/>
      <c r="I8" s="12"/>
    </row>
    <row r="9" spans="1:9">
      <c r="A9" s="11"/>
      <c r="B9" s="11"/>
      <c r="C9" s="214" t="s">
        <v>210</v>
      </c>
      <c r="D9" s="214"/>
      <c r="E9" s="214"/>
      <c r="F9" s="11"/>
      <c r="G9" s="12"/>
      <c r="H9" s="12"/>
      <c r="I9" s="12"/>
    </row>
    <row r="10" spans="1:9">
      <c r="A10" s="12"/>
      <c r="B10" s="12"/>
      <c r="C10" s="214"/>
      <c r="D10" s="214"/>
      <c r="E10" s="214"/>
      <c r="F10" s="12"/>
      <c r="G10" s="11"/>
      <c r="H10" s="11"/>
      <c r="I10" s="11"/>
    </row>
    <row r="11" spans="1:9">
      <c r="A11" s="12"/>
      <c r="B11" s="12"/>
      <c r="C11" s="12"/>
      <c r="D11" s="13"/>
      <c r="E11" s="12"/>
      <c r="F11" s="12"/>
      <c r="G11" s="11"/>
      <c r="H11" s="11"/>
      <c r="I11" s="11"/>
    </row>
    <row r="12" spans="1:9">
      <c r="A12" s="10"/>
      <c r="B12" s="10"/>
      <c r="C12" s="10"/>
      <c r="D12" s="13"/>
      <c r="E12" s="10"/>
      <c r="F12" s="10"/>
      <c r="G12" s="11"/>
      <c r="H12" s="11"/>
      <c r="I12" s="11"/>
    </row>
    <row r="13" spans="1:9">
      <c r="A13" s="10"/>
      <c r="B13" s="10"/>
      <c r="C13" s="10"/>
      <c r="D13" s="10"/>
      <c r="E13" s="10"/>
      <c r="F13" s="10"/>
      <c r="G13" s="11"/>
      <c r="H13" s="11"/>
      <c r="I13" s="11"/>
    </row>
    <row r="14" spans="1:9">
      <c r="A14" s="10"/>
      <c r="B14" s="10"/>
      <c r="C14" s="10"/>
      <c r="D14" s="10"/>
      <c r="E14" s="10"/>
      <c r="F14" s="10"/>
      <c r="G14" s="11"/>
      <c r="H14" s="11"/>
      <c r="I14" s="11"/>
    </row>
    <row r="15" spans="1:9">
      <c r="A15" s="10"/>
      <c r="B15" s="10"/>
      <c r="C15" s="10"/>
      <c r="D15" s="10"/>
      <c r="E15" s="10"/>
      <c r="F15" s="10"/>
      <c r="G15" s="11"/>
      <c r="H15" s="11"/>
      <c r="I15" s="11"/>
    </row>
    <row r="16" spans="1:9">
      <c r="A16" s="10"/>
      <c r="B16" s="10"/>
      <c r="C16" s="10"/>
      <c r="D16" s="10"/>
      <c r="E16" s="10"/>
      <c r="F16" s="10"/>
      <c r="G16" s="11"/>
      <c r="H16" s="11"/>
      <c r="I16" s="11"/>
    </row>
    <row r="17" spans="1:12" ht="19">
      <c r="A17" s="10"/>
      <c r="B17" s="10"/>
      <c r="C17" s="10"/>
      <c r="D17" s="10"/>
      <c r="E17" s="10"/>
      <c r="F17" s="10"/>
      <c r="G17" s="11"/>
      <c r="H17" s="11"/>
      <c r="I17" s="11"/>
      <c r="K17" s="15" t="s">
        <v>211</v>
      </c>
    </row>
    <row r="18" spans="1:12" ht="16" thickBot="1">
      <c r="A18" s="10"/>
      <c r="B18" s="10"/>
      <c r="C18" s="10"/>
      <c r="D18" s="10"/>
      <c r="E18" s="10"/>
      <c r="F18" s="10"/>
      <c r="G18" s="11"/>
      <c r="H18" s="212" t="s">
        <v>212</v>
      </c>
      <c r="I18" s="11"/>
      <c r="K18" s="14" t="s">
        <v>205</v>
      </c>
      <c r="L18" s="14" t="s">
        <v>206</v>
      </c>
    </row>
    <row r="19" spans="1:12" ht="16" thickTop="1">
      <c r="A19" s="10"/>
      <c r="B19" s="10"/>
      <c r="C19" s="10"/>
      <c r="D19" s="10"/>
      <c r="E19" s="10"/>
      <c r="F19" s="10"/>
      <c r="G19" s="11"/>
      <c r="H19" s="212"/>
      <c r="I19" s="11"/>
      <c r="K19" s="16">
        <v>1</v>
      </c>
      <c r="L19" t="str">
        <f>SCHEDULE!B33</f>
        <v>DBL 313</v>
      </c>
    </row>
    <row r="20" spans="1:12">
      <c r="A20" s="10"/>
      <c r="B20" s="10"/>
      <c r="C20" s="10"/>
      <c r="D20" s="10"/>
      <c r="E20" s="10"/>
      <c r="F20" s="10"/>
      <c r="G20" s="11"/>
      <c r="H20" s="212"/>
      <c r="I20" s="11"/>
      <c r="K20" s="16">
        <v>2</v>
      </c>
      <c r="L20" t="e">
        <f>SCHEDULE!#REF!</f>
        <v>#REF!</v>
      </c>
    </row>
    <row r="21" spans="1:12">
      <c r="A21" s="10"/>
      <c r="B21" s="10"/>
      <c r="C21" s="10"/>
      <c r="D21" s="10"/>
      <c r="E21" s="10"/>
      <c r="F21" s="10"/>
      <c r="G21" s="11"/>
      <c r="H21" s="212"/>
      <c r="I21" s="11"/>
      <c r="K21" s="16">
        <v>3</v>
      </c>
      <c r="L21" t="str">
        <f>SCHEDULE!B61</f>
        <v>CCL 407</v>
      </c>
    </row>
    <row r="22" spans="1:12">
      <c r="A22" s="10"/>
      <c r="B22" s="10"/>
      <c r="C22" s="10"/>
      <c r="D22" s="10"/>
      <c r="E22" s="10"/>
      <c r="F22" s="10"/>
      <c r="G22" s="11"/>
      <c r="H22" s="212"/>
      <c r="I22" s="11"/>
      <c r="K22" s="16">
        <v>4</v>
      </c>
      <c r="L22" t="e">
        <f>SCHEDULE!#REF!</f>
        <v>#REF!</v>
      </c>
    </row>
    <row r="23" spans="1:12">
      <c r="A23" s="10"/>
      <c r="B23" s="10"/>
      <c r="C23" s="10"/>
      <c r="D23" s="10"/>
      <c r="E23" s="10"/>
      <c r="F23" s="10"/>
      <c r="G23" s="11"/>
      <c r="H23" s="212"/>
      <c r="I23" s="11"/>
      <c r="K23" s="16">
        <v>5</v>
      </c>
      <c r="L23" t="e">
        <f>SCHEDULE!#REF!</f>
        <v>#REF!</v>
      </c>
    </row>
    <row r="24" spans="1:12">
      <c r="A24" s="10"/>
      <c r="B24" s="10"/>
      <c r="C24" s="10"/>
      <c r="D24" s="10"/>
      <c r="E24" s="10"/>
      <c r="F24" s="10"/>
      <c r="G24" s="11"/>
      <c r="H24" s="212"/>
      <c r="I24" s="11"/>
    </row>
    <row r="25" spans="1:12">
      <c r="A25" s="10"/>
      <c r="B25" s="10"/>
      <c r="C25" s="10"/>
      <c r="D25" s="10"/>
      <c r="E25" s="10"/>
      <c r="F25" s="10"/>
      <c r="G25" s="11"/>
      <c r="H25" s="212"/>
      <c r="I25" s="11"/>
    </row>
    <row r="26" spans="1:12">
      <c r="A26" s="10"/>
      <c r="B26" s="10"/>
      <c r="C26" s="10"/>
      <c r="D26" s="10"/>
      <c r="E26" s="10"/>
      <c r="F26" s="10"/>
      <c r="G26" s="11"/>
      <c r="H26" s="212"/>
      <c r="I26" s="11"/>
    </row>
    <row r="27" spans="1:12">
      <c r="A27" s="10"/>
      <c r="B27" s="10"/>
      <c r="C27" s="10"/>
      <c r="D27" s="10"/>
      <c r="E27" s="10"/>
      <c r="F27" s="10"/>
      <c r="G27" s="11"/>
      <c r="H27" s="212"/>
      <c r="I27" s="11"/>
    </row>
    <row r="28" spans="1:12">
      <c r="A28" s="10"/>
      <c r="B28" s="10"/>
      <c r="C28" s="10"/>
      <c r="D28" s="10"/>
      <c r="E28" s="10"/>
      <c r="F28" s="10"/>
      <c r="G28" s="11"/>
      <c r="H28" s="212"/>
      <c r="I28" s="11"/>
    </row>
    <row r="29" spans="1:12">
      <c r="A29" s="10"/>
      <c r="B29" s="10"/>
      <c r="C29" s="10"/>
      <c r="D29" s="10"/>
      <c r="E29" s="10"/>
      <c r="F29" s="10"/>
      <c r="G29" s="11"/>
      <c r="H29" s="212"/>
      <c r="I29" s="11"/>
    </row>
    <row r="30" spans="1:12">
      <c r="A30" s="10"/>
      <c r="B30" s="10"/>
      <c r="C30" s="10"/>
      <c r="D30" s="10"/>
      <c r="E30" s="10"/>
      <c r="F30" s="10"/>
      <c r="G30" s="11"/>
      <c r="H30" s="212"/>
      <c r="I30" s="11"/>
    </row>
    <row r="31" spans="1:12">
      <c r="A31" s="10"/>
      <c r="B31" s="10"/>
      <c r="C31" s="10"/>
      <c r="D31" s="10"/>
      <c r="E31" s="10"/>
      <c r="F31" s="10"/>
      <c r="G31" s="11"/>
      <c r="H31" s="212"/>
      <c r="I31" s="11"/>
    </row>
    <row r="32" spans="1:12">
      <c r="A32" s="10"/>
      <c r="B32" s="10"/>
      <c r="C32" s="10"/>
      <c r="D32" s="10"/>
      <c r="E32" s="10"/>
      <c r="F32" s="10"/>
      <c r="G32" s="11"/>
      <c r="H32" s="11"/>
      <c r="I32" s="11"/>
    </row>
    <row r="33" spans="1:9">
      <c r="A33" s="10"/>
      <c r="B33" s="10"/>
      <c r="C33" s="10"/>
      <c r="D33" s="10"/>
      <c r="E33" s="10"/>
      <c r="F33" s="10"/>
      <c r="G33" s="11"/>
      <c r="H33" s="11"/>
      <c r="I33" s="11"/>
    </row>
    <row r="34" spans="1:9">
      <c r="A34" s="10"/>
      <c r="B34" s="10"/>
      <c r="C34" s="10"/>
      <c r="D34" s="10"/>
      <c r="E34" s="10"/>
      <c r="F34" s="10"/>
      <c r="G34" s="11"/>
      <c r="H34" s="11"/>
      <c r="I34" s="11"/>
    </row>
    <row r="35" spans="1:9">
      <c r="A35" s="10"/>
      <c r="B35" s="10"/>
      <c r="C35" s="10"/>
      <c r="D35" s="10"/>
      <c r="E35" s="10"/>
      <c r="F35" s="10"/>
      <c r="G35" s="11"/>
      <c r="H35" s="11"/>
      <c r="I35" s="11"/>
    </row>
    <row r="36" spans="1:9">
      <c r="A36" s="10"/>
      <c r="B36" s="10"/>
      <c r="C36" s="10"/>
      <c r="D36" s="10"/>
      <c r="E36" s="10"/>
      <c r="F36" s="10"/>
      <c r="G36" s="11"/>
      <c r="H36" s="11"/>
      <c r="I36" s="11"/>
    </row>
    <row r="37" spans="1:9">
      <c r="A37" s="10"/>
      <c r="B37" s="10"/>
      <c r="C37" s="10"/>
      <c r="D37" s="10"/>
      <c r="E37" s="10"/>
      <c r="F37" s="10"/>
      <c r="G37" s="11"/>
      <c r="H37" s="11"/>
      <c r="I37" s="11"/>
    </row>
    <row r="38" spans="1:9">
      <c r="A38" s="10"/>
      <c r="B38" s="10"/>
      <c r="C38" s="10"/>
      <c r="D38" s="10"/>
      <c r="E38" s="10"/>
      <c r="F38" s="10"/>
      <c r="G38" s="11"/>
      <c r="H38" s="11"/>
      <c r="I38" s="11"/>
    </row>
    <row r="39" spans="1:9">
      <c r="A39" s="10"/>
      <c r="B39" s="10"/>
      <c r="C39" s="10"/>
      <c r="D39" s="10"/>
      <c r="E39" s="10"/>
      <c r="F39" s="10"/>
      <c r="G39" s="11"/>
      <c r="H39" s="11"/>
      <c r="I39" s="11"/>
    </row>
    <row r="40" spans="1:9">
      <c r="A40" s="10"/>
      <c r="B40" s="10"/>
      <c r="C40" s="10"/>
      <c r="D40" s="10"/>
      <c r="E40" s="10"/>
      <c r="F40" s="10"/>
      <c r="G40" s="11"/>
      <c r="H40" s="11"/>
      <c r="I40" s="11"/>
    </row>
    <row r="41" spans="1:9">
      <c r="A41" s="10"/>
      <c r="B41" s="10"/>
      <c r="C41" s="10"/>
      <c r="D41" s="10"/>
      <c r="E41" s="10"/>
      <c r="F41" s="10"/>
      <c r="G41" s="11"/>
      <c r="H41" s="11"/>
      <c r="I41" s="11"/>
    </row>
  </sheetData>
  <mergeCells count="3">
    <mergeCell ref="H18:H31"/>
    <mergeCell ref="B5:E6"/>
    <mergeCell ref="C9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DC11-C3D4-E846-95F4-D90E02C885BB}">
  <dimension ref="A1:N7"/>
  <sheetViews>
    <sheetView zoomScale="170" zoomScaleNormal="170" workbookViewId="0">
      <selection activeCell="I3" sqref="A1:I3"/>
    </sheetView>
  </sheetViews>
  <sheetFormatPr baseColWidth="10" defaultColWidth="11.5" defaultRowHeight="15"/>
  <cols>
    <col min="2" max="2" width="28.6640625" customWidth="1"/>
    <col min="5" max="5" width="15" bestFit="1" customWidth="1"/>
    <col min="6" max="6" width="14.5" customWidth="1"/>
    <col min="7" max="7" width="11.1640625" bestFit="1" customWidth="1"/>
    <col min="8" max="8" width="12.1640625" bestFit="1" customWidth="1"/>
    <col min="9" max="9" width="20.33203125" bestFit="1" customWidth="1"/>
    <col min="12" max="12" width="11.1640625" bestFit="1" customWidth="1"/>
  </cols>
  <sheetData>
    <row r="1" spans="1:14" ht="35" thickBot="1">
      <c r="A1" s="30" t="s">
        <v>213</v>
      </c>
      <c r="B1" s="30" t="s">
        <v>214</v>
      </c>
      <c r="C1" s="30" t="s">
        <v>4</v>
      </c>
      <c r="D1" s="30" t="s">
        <v>5</v>
      </c>
      <c r="E1" s="30" t="s">
        <v>6</v>
      </c>
      <c r="F1" s="30" t="s">
        <v>7</v>
      </c>
      <c r="G1" s="30" t="s">
        <v>8</v>
      </c>
      <c r="H1" s="31" t="s">
        <v>9</v>
      </c>
      <c r="I1" s="112" t="s">
        <v>10</v>
      </c>
    </row>
    <row r="2" spans="1:14" ht="16" thickTop="1">
      <c r="A2" s="28" t="s">
        <v>215</v>
      </c>
      <c r="B2" s="28" t="s">
        <v>216</v>
      </c>
      <c r="C2" s="33"/>
      <c r="D2" s="8"/>
      <c r="E2" s="8"/>
      <c r="F2" s="32"/>
      <c r="G2" s="8"/>
      <c r="H2" s="110"/>
      <c r="I2" s="9"/>
      <c r="J2" s="106"/>
      <c r="K2" s="107"/>
      <c r="L2" s="108"/>
      <c r="M2" s="107"/>
      <c r="N2" s="109"/>
    </row>
    <row r="3" spans="1:14">
      <c r="A3" s="29" t="s">
        <v>217</v>
      </c>
      <c r="B3" s="29" t="s">
        <v>216</v>
      </c>
      <c r="C3" s="33"/>
      <c r="D3" s="8"/>
      <c r="E3" s="8"/>
      <c r="F3" s="32"/>
      <c r="G3" s="8"/>
      <c r="H3" s="110"/>
      <c r="I3" s="9" t="s">
        <v>218</v>
      </c>
      <c r="J3" s="106"/>
      <c r="K3" s="107"/>
      <c r="L3" s="108"/>
      <c r="M3" s="107"/>
      <c r="N3" s="109"/>
    </row>
    <row r="4" spans="1:14">
      <c r="A4" s="26"/>
      <c r="B4" s="26"/>
      <c r="C4" s="33"/>
      <c r="D4" s="22"/>
      <c r="E4" s="25"/>
      <c r="F4" s="24"/>
      <c r="G4" s="25"/>
      <c r="H4" s="111"/>
      <c r="I4" s="9"/>
      <c r="L4" s="108"/>
    </row>
    <row r="5" spans="1:14">
      <c r="A5" s="26"/>
      <c r="B5" s="26"/>
      <c r="C5" s="26"/>
      <c r="D5" s="22"/>
      <c r="E5" s="25"/>
      <c r="F5" s="24"/>
      <c r="G5" s="25"/>
      <c r="H5" s="111"/>
      <c r="I5" s="114"/>
    </row>
    <row r="6" spans="1:14">
      <c r="A6" s="26"/>
      <c r="B6" s="26"/>
      <c r="C6" s="27"/>
      <c r="D6" s="27"/>
      <c r="E6" s="27"/>
      <c r="F6" s="27"/>
      <c r="G6" s="27"/>
      <c r="H6" s="27"/>
      <c r="I6" s="113"/>
    </row>
    <row r="7" spans="1:14">
      <c r="A7" s="27"/>
      <c r="B7" s="27"/>
      <c r="C7" s="27"/>
      <c r="D7" s="27"/>
      <c r="E7" s="27"/>
      <c r="F7" s="27"/>
      <c r="G7" s="27"/>
      <c r="H7" s="27"/>
      <c r="I7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B9DE-9E3F-E546-8763-1F993F2BD973}">
  <dimension ref="A1:C20"/>
  <sheetViews>
    <sheetView zoomScale="170" zoomScaleNormal="170" workbookViewId="0">
      <selection activeCell="A3" sqref="A3"/>
    </sheetView>
  </sheetViews>
  <sheetFormatPr baseColWidth="10" defaultColWidth="11.5" defaultRowHeight="15"/>
  <cols>
    <col min="1" max="1" width="12" bestFit="1" customWidth="1"/>
    <col min="2" max="2" width="11.5" bestFit="1" customWidth="1"/>
    <col min="3" max="3" width="17.33203125" bestFit="1" customWidth="1"/>
  </cols>
  <sheetData>
    <row r="1" spans="1:3">
      <c r="A1" s="42"/>
      <c r="B1" s="215" t="s">
        <v>219</v>
      </c>
      <c r="C1" s="215"/>
    </row>
    <row r="2" spans="1:3">
      <c r="A2" s="50" t="s">
        <v>220</v>
      </c>
      <c r="B2" s="43" t="s">
        <v>221</v>
      </c>
      <c r="C2" s="43" t="s">
        <v>222</v>
      </c>
    </row>
    <row r="3" spans="1:3">
      <c r="A3" s="43" t="s">
        <v>223</v>
      </c>
      <c r="B3" s="41" t="s">
        <v>224</v>
      </c>
      <c r="C3" s="41" t="s">
        <v>225</v>
      </c>
    </row>
    <row r="4" spans="1:3">
      <c r="B4" s="41" t="s">
        <v>224</v>
      </c>
      <c r="C4" s="41" t="s">
        <v>226</v>
      </c>
    </row>
    <row r="5" spans="1:3">
      <c r="B5" s="48" t="s">
        <v>227</v>
      </c>
      <c r="C5" s="48" t="s">
        <v>228</v>
      </c>
    </row>
    <row r="6" spans="1:3">
      <c r="B6" s="48" t="s">
        <v>227</v>
      </c>
      <c r="C6" s="48" t="s">
        <v>229</v>
      </c>
    </row>
    <row r="8" spans="1:3">
      <c r="A8" s="42"/>
      <c r="B8" s="216" t="s">
        <v>230</v>
      </c>
      <c r="C8" s="217"/>
    </row>
    <row r="9" spans="1:3">
      <c r="A9" s="51" t="s">
        <v>220</v>
      </c>
      <c r="B9" s="45" t="s">
        <v>221</v>
      </c>
      <c r="C9" s="45" t="s">
        <v>231</v>
      </c>
    </row>
    <row r="10" spans="1:3">
      <c r="A10" s="45" t="s">
        <v>232</v>
      </c>
      <c r="B10" s="44" t="s">
        <v>224</v>
      </c>
      <c r="C10" s="44" t="s">
        <v>233</v>
      </c>
    </row>
    <row r="11" spans="1:3">
      <c r="B11" s="44" t="s">
        <v>224</v>
      </c>
      <c r="C11" s="44" t="s">
        <v>234</v>
      </c>
    </row>
    <row r="12" spans="1:3">
      <c r="B12" s="47" t="s">
        <v>227</v>
      </c>
      <c r="C12" s="47" t="s">
        <v>235</v>
      </c>
    </row>
    <row r="13" spans="1:3">
      <c r="B13" s="47" t="s">
        <v>227</v>
      </c>
      <c r="C13" s="47" t="s">
        <v>236</v>
      </c>
    </row>
    <row r="15" spans="1:3">
      <c r="A15" s="42"/>
      <c r="B15" s="40" t="s">
        <v>237</v>
      </c>
      <c r="C15" s="40"/>
    </row>
    <row r="16" spans="1:3">
      <c r="A16" s="52" t="s">
        <v>220</v>
      </c>
      <c r="B16" s="46" t="s">
        <v>221</v>
      </c>
      <c r="C16" s="46" t="s">
        <v>238</v>
      </c>
    </row>
    <row r="17" spans="1:3">
      <c r="A17" s="46" t="s">
        <v>239</v>
      </c>
      <c r="B17" s="39" t="s">
        <v>224</v>
      </c>
      <c r="C17" s="39" t="s">
        <v>240</v>
      </c>
    </row>
    <row r="18" spans="1:3">
      <c r="B18" s="39" t="s">
        <v>224</v>
      </c>
      <c r="C18" s="39" t="s">
        <v>241</v>
      </c>
    </row>
    <row r="19" spans="1:3">
      <c r="B19" s="49" t="s">
        <v>227</v>
      </c>
      <c r="C19" s="49" t="s">
        <v>242</v>
      </c>
    </row>
    <row r="20" spans="1:3">
      <c r="B20" s="49" t="s">
        <v>227</v>
      </c>
      <c r="C20" s="49" t="s">
        <v>243</v>
      </c>
    </row>
  </sheetData>
  <mergeCells count="2">
    <mergeCell ref="B1:C1"/>
    <mergeCell ref="B8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A208-99EC-8047-9C2C-F84DBDA47398}">
  <dimension ref="A1"/>
  <sheetViews>
    <sheetView workbookViewId="0"/>
  </sheetViews>
  <sheetFormatPr baseColWidth="10" defaultColWidth="11.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ebb36c-9645-4095-aa64-620e0a6216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81F185AC08B44825D7D659564E77A" ma:contentTypeVersion="11" ma:contentTypeDescription="Create a new document." ma:contentTypeScope="" ma:versionID="72cb46b751f664a833063c71308f692a">
  <xsd:schema xmlns:xsd="http://www.w3.org/2001/XMLSchema" xmlns:xs="http://www.w3.org/2001/XMLSchema" xmlns:p="http://schemas.microsoft.com/office/2006/metadata/properties" xmlns:ns2="d7ebb36c-9645-4095-aa64-620e0a62163f" targetNamespace="http://schemas.microsoft.com/office/2006/metadata/properties" ma:root="true" ma:fieldsID="3e4d92a8436072a517991802b65ed20f" ns2:_="">
    <xsd:import namespace="d7ebb36c-9645-4095-aa64-620e0a621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ebb36c-9645-4095-aa64-620e0a621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c01ec3-6c22-47d6-b4c5-8c1ef06a8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1326B5-6082-4F32-8D34-B235A83536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43BEA-6AC4-4C16-93C0-EEB58467B195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d7ebb36c-9645-4095-aa64-620e0a62163f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7C7142E-705F-4BD8-9D2F-DB1C04721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ebb36c-9645-4095-aa64-620e0a621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FACILITY LAYOUT</vt:lpstr>
      <vt:lpstr>STS ORDER RELEASE</vt:lpstr>
      <vt:lpstr>SHIFTS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Rolfo</cp:lastModifiedBy>
  <cp:revision/>
  <dcterms:created xsi:type="dcterms:W3CDTF">2025-10-11T14:37:11Z</dcterms:created>
  <dcterms:modified xsi:type="dcterms:W3CDTF">2026-07-14T12:36:16Z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0x010100F8A81F185AC08B44825D7D659564E77A</vt:lpwstr>
  </property>
  <property fmtid="{D5CDD505-2E9C-101B-9397-08002B2CF9AE}" pid="3" name="MediaServiceImageTags">
    <vt:lpwstr/>
  </property>
</Properties>
</file>
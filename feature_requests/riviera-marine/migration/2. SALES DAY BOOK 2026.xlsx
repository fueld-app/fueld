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S:\documenti\ACCOUNTS AND FINANCE\ACCOUNTING DEPT\TREASURY\"/>
    </mc:Choice>
  </mc:AlternateContent>
  <xr:revisionPtr revIDLastSave="0" documentId="13_ncr:1_{3C2B66A4-D422-4910-AE77-53977BF698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 day book" sheetId="1" r:id="rId1"/>
    <sheet name="Envoi du 30.03" sheetId="4" state="hidden" r:id="rId2"/>
  </sheets>
  <definedNames>
    <definedName name="_xlnm._FilterDatabase" localSheetId="1" hidden="1">'Envoi du 30.03'!$A$1:$M$1</definedName>
    <definedName name="_xlnm._FilterDatabase" localSheetId="0" hidden="1">'Sales day book'!$A$1:$R$457</definedName>
    <definedName name="_xlnm.Print_Area" localSheetId="0">'Sales day book'!$A$157:$S$281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57" i="1" l="1"/>
  <c r="T457" i="1" a="1"/>
  <c r="T457" i="1" s="1"/>
  <c r="S457" i="1"/>
  <c r="U456" i="1"/>
  <c r="T456" i="1" a="1"/>
  <c r="T456" i="1" s="1"/>
  <c r="S456" i="1"/>
  <c r="U451" i="1"/>
  <c r="T451" i="1" a="1"/>
  <c r="T451" i="1" s="1"/>
  <c r="S451" i="1"/>
  <c r="U450" i="1"/>
  <c r="T450" i="1"/>
  <c r="T450" i="1" a="1"/>
  <c r="S450" i="1"/>
  <c r="U449" i="1"/>
  <c r="T449" i="1" a="1"/>
  <c r="T449" i="1" s="1"/>
  <c r="S449" i="1"/>
  <c r="U448" i="1"/>
  <c r="T448" i="1"/>
  <c r="T448" i="1" a="1"/>
  <c r="S448" i="1"/>
  <c r="U447" i="1"/>
  <c r="T447" i="1"/>
  <c r="T447" i="1" a="1"/>
  <c r="S447" i="1"/>
  <c r="U446" i="1"/>
  <c r="T446" i="1" a="1"/>
  <c r="T446" i="1" s="1"/>
  <c r="S446" i="1"/>
  <c r="U409" i="1"/>
  <c r="T409" i="1"/>
  <c r="T409" i="1" a="1"/>
  <c r="S409" i="1"/>
  <c r="U408" i="1"/>
  <c r="T408" i="1"/>
  <c r="T408" i="1" a="1"/>
  <c r="S408" i="1"/>
  <c r="U407" i="1"/>
  <c r="T407" i="1" a="1"/>
  <c r="T407" i="1" s="1"/>
  <c r="S407" i="1"/>
  <c r="U406" i="1"/>
  <c r="T406" i="1"/>
  <c r="T406" i="1" a="1"/>
  <c r="S406" i="1"/>
  <c r="U405" i="1"/>
  <c r="T405" i="1"/>
  <c r="T405" i="1" a="1"/>
  <c r="S405" i="1"/>
  <c r="U404" i="1"/>
  <c r="T404" i="1" a="1"/>
  <c r="T404" i="1" s="1"/>
  <c r="S404" i="1"/>
  <c r="U403" i="1"/>
  <c r="T403" i="1"/>
  <c r="T403" i="1" a="1"/>
  <c r="S403" i="1"/>
  <c r="U402" i="1"/>
  <c r="T402" i="1"/>
  <c r="T402" i="1" a="1"/>
  <c r="S402" i="1"/>
  <c r="U317" i="1"/>
  <c r="T317" i="1" a="1"/>
  <c r="T317" i="1" s="1"/>
  <c r="S317" i="1"/>
  <c r="U296" i="1"/>
  <c r="T296" i="1"/>
  <c r="T296" i="1" a="1"/>
  <c r="S296" i="1"/>
  <c r="U289" i="1"/>
  <c r="T289" i="1"/>
  <c r="T289" i="1" a="1"/>
  <c r="S289" i="1"/>
  <c r="U286" i="1"/>
  <c r="T286" i="1" a="1"/>
  <c r="T286" i="1" s="1"/>
  <c r="S286" i="1"/>
  <c r="U276" i="1"/>
  <c r="T276" i="1"/>
  <c r="T276" i="1" a="1"/>
  <c r="S276" i="1"/>
  <c r="U275" i="1"/>
  <c r="T275" i="1"/>
  <c r="T275" i="1" a="1"/>
  <c r="S275" i="1"/>
  <c r="U274" i="1"/>
  <c r="T274" i="1" a="1"/>
  <c r="T274" i="1" s="1"/>
  <c r="S274" i="1"/>
  <c r="U273" i="1"/>
  <c r="T273" i="1"/>
  <c r="T273" i="1" a="1"/>
  <c r="S273" i="1"/>
  <c r="U272" i="1"/>
  <c r="T272" i="1"/>
  <c r="T272" i="1" a="1"/>
  <c r="S272" i="1"/>
  <c r="U271" i="1"/>
  <c r="T271" i="1" a="1"/>
  <c r="T271" i="1" s="1"/>
  <c r="S271" i="1"/>
  <c r="U270" i="1"/>
  <c r="T270" i="1"/>
  <c r="T270" i="1" a="1"/>
  <c r="S270" i="1"/>
  <c r="U267" i="1"/>
  <c r="T267" i="1"/>
  <c r="T267" i="1" a="1"/>
  <c r="S267" i="1"/>
  <c r="U251" i="1"/>
  <c r="T251" i="1" a="1"/>
  <c r="T251" i="1" s="1"/>
  <c r="S251" i="1"/>
  <c r="U250" i="1"/>
  <c r="T250" i="1"/>
  <c r="T250" i="1" a="1"/>
  <c r="S250" i="1"/>
  <c r="U218" i="1"/>
  <c r="T218" i="1"/>
  <c r="T218" i="1" a="1"/>
  <c r="S218" i="1"/>
  <c r="U214" i="1"/>
  <c r="T214" i="1" a="1"/>
  <c r="T214" i="1" s="1"/>
  <c r="S214" i="1"/>
  <c r="U212" i="1"/>
  <c r="T212" i="1"/>
  <c r="T212" i="1" a="1"/>
  <c r="S212" i="1"/>
  <c r="U211" i="1"/>
  <c r="T211" i="1"/>
  <c r="T211" i="1" a="1"/>
  <c r="S211" i="1"/>
  <c r="U210" i="1"/>
  <c r="T210" i="1" a="1"/>
  <c r="T210" i="1" s="1"/>
  <c r="S210" i="1"/>
  <c r="U207" i="1"/>
  <c r="T207" i="1"/>
  <c r="T207" i="1" a="1"/>
  <c r="S207" i="1"/>
  <c r="U203" i="1"/>
  <c r="T203" i="1"/>
  <c r="T203" i="1" a="1"/>
  <c r="S203" i="1"/>
  <c r="U202" i="1"/>
  <c r="T202" i="1" a="1"/>
  <c r="T202" i="1" s="1"/>
  <c r="S202" i="1"/>
  <c r="U201" i="1"/>
  <c r="T201" i="1"/>
  <c r="T201" i="1" a="1"/>
  <c r="S201" i="1"/>
  <c r="U200" i="1"/>
  <c r="T200" i="1"/>
  <c r="T200" i="1" a="1"/>
  <c r="S200" i="1"/>
  <c r="U199" i="1"/>
  <c r="T199" i="1" a="1"/>
  <c r="T199" i="1" s="1"/>
  <c r="S199" i="1"/>
  <c r="U198" i="1"/>
  <c r="T198" i="1" a="1"/>
  <c r="T198" i="1" s="1"/>
  <c r="S198" i="1"/>
  <c r="U197" i="1"/>
  <c r="T197" i="1"/>
  <c r="T197" i="1" a="1"/>
  <c r="S197" i="1"/>
  <c r="U195" i="1"/>
  <c r="T195" i="1" a="1"/>
  <c r="T195" i="1" s="1"/>
  <c r="S195" i="1"/>
  <c r="U193" i="1"/>
  <c r="T193" i="1" a="1"/>
  <c r="T193" i="1" s="1"/>
  <c r="S193" i="1"/>
  <c r="U192" i="1"/>
  <c r="T192" i="1"/>
  <c r="T192" i="1" a="1"/>
  <c r="S192" i="1"/>
  <c r="U189" i="1"/>
  <c r="T189" i="1" a="1"/>
  <c r="T189" i="1" s="1"/>
  <c r="S189" i="1"/>
  <c r="U188" i="1"/>
  <c r="T188" i="1" a="1"/>
  <c r="T188" i="1" s="1"/>
  <c r="S188" i="1"/>
  <c r="U187" i="1"/>
  <c r="T187" i="1"/>
  <c r="T187" i="1" a="1"/>
  <c r="S187" i="1"/>
  <c r="U186" i="1"/>
  <c r="T186" i="1" a="1"/>
  <c r="T186" i="1" s="1"/>
  <c r="S186" i="1"/>
  <c r="U185" i="1"/>
  <c r="T185" i="1" a="1"/>
  <c r="T185" i="1" s="1"/>
  <c r="S185" i="1"/>
  <c r="U149" i="1"/>
  <c r="T149" i="1"/>
  <c r="T149" i="1" a="1"/>
  <c r="S149" i="1"/>
  <c r="U148" i="1"/>
  <c r="T148" i="1" a="1"/>
  <c r="T148" i="1" s="1"/>
  <c r="S148" i="1"/>
  <c r="U144" i="1"/>
  <c r="T144" i="1" a="1"/>
  <c r="T144" i="1" s="1"/>
  <c r="S144" i="1"/>
  <c r="U143" i="1"/>
  <c r="T143" i="1"/>
  <c r="T143" i="1" a="1"/>
  <c r="S143" i="1"/>
  <c r="U138" i="1"/>
  <c r="T138" i="1" a="1"/>
  <c r="T138" i="1" s="1"/>
  <c r="S138" i="1"/>
  <c r="U120" i="1"/>
  <c r="T120" i="1" a="1"/>
  <c r="T120" i="1" s="1"/>
  <c r="S120" i="1"/>
  <c r="U92" i="1"/>
  <c r="T92" i="1"/>
  <c r="T92" i="1" a="1"/>
  <c r="S92" i="1"/>
  <c r="U89" i="1"/>
  <c r="T89" i="1" a="1"/>
  <c r="T89" i="1" s="1"/>
  <c r="S89" i="1"/>
  <c r="U88" i="1"/>
  <c r="T88" i="1" a="1"/>
  <c r="T88" i="1" s="1"/>
  <c r="S88" i="1"/>
  <c r="U86" i="1"/>
  <c r="T86" i="1"/>
  <c r="T86" i="1" a="1"/>
  <c r="S86" i="1"/>
  <c r="U79" i="1"/>
  <c r="T79" i="1" a="1"/>
  <c r="T79" i="1" s="1"/>
  <c r="S79" i="1"/>
  <c r="U75" i="1"/>
  <c r="T75" i="1" a="1"/>
  <c r="T75" i="1" s="1"/>
  <c r="S75" i="1"/>
  <c r="U67" i="1"/>
  <c r="T67" i="1"/>
  <c r="T67" i="1" a="1"/>
  <c r="S67" i="1"/>
  <c r="U66" i="1"/>
  <c r="T66" i="1" a="1"/>
  <c r="T66" i="1" s="1"/>
  <c r="S66" i="1"/>
  <c r="U65" i="1"/>
  <c r="T65" i="1" a="1"/>
  <c r="T65" i="1" s="1"/>
  <c r="S65" i="1"/>
  <c r="U42" i="1"/>
  <c r="T42" i="1"/>
  <c r="T42" i="1" a="1"/>
  <c r="S42" i="1"/>
  <c r="U41" i="1"/>
  <c r="T41" i="1" a="1"/>
  <c r="T41" i="1" s="1"/>
  <c r="S41" i="1"/>
  <c r="U37" i="1"/>
  <c r="T37" i="1" a="1"/>
  <c r="T37" i="1" s="1"/>
  <c r="S37" i="1"/>
  <c r="U36" i="1"/>
  <c r="T36" i="1"/>
  <c r="T36" i="1" a="1"/>
  <c r="S36" i="1"/>
  <c r="U35" i="1"/>
  <c r="T35" i="1" a="1"/>
  <c r="T35" i="1" s="1"/>
  <c r="S35" i="1"/>
  <c r="U32" i="1"/>
  <c r="T32" i="1" a="1"/>
  <c r="T32" i="1" s="1"/>
  <c r="S32" i="1"/>
  <c r="U31" i="1"/>
  <c r="T31" i="1"/>
  <c r="T31" i="1" a="1"/>
  <c r="S31" i="1"/>
  <c r="U30" i="1"/>
  <c r="T30" i="1" a="1"/>
  <c r="T30" i="1" s="1"/>
  <c r="S30" i="1"/>
  <c r="U28" i="1"/>
  <c r="T28" i="1" a="1"/>
  <c r="T28" i="1" s="1"/>
  <c r="S28" i="1"/>
  <c r="U2" i="1"/>
  <c r="T2" i="1"/>
  <c r="T2" i="1" a="1"/>
  <c r="S2" i="1"/>
  <c r="Q91" i="1"/>
  <c r="Q270" i="1" l="1"/>
  <c r="Q409" i="1" l="1"/>
  <c r="Q404" i="1"/>
  <c r="Q403" i="1"/>
  <c r="Q275" i="1"/>
  <c r="Q272" i="1" l="1"/>
  <c r="Q408" i="1"/>
  <c r="Q211" i="1"/>
  <c r="Q457" i="1" l="1"/>
  <c r="Q405" i="1"/>
  <c r="Q271" i="1"/>
  <c r="Q274" i="1"/>
  <c r="Q450" i="1"/>
  <c r="Q447" i="1" l="1"/>
  <c r="Q451" i="1" l="1"/>
  <c r="Q449" i="1"/>
  <c r="Q448" i="1"/>
  <c r="Q286" i="1"/>
  <c r="Q446" i="1"/>
  <c r="Q250" i="1" l="1"/>
  <c r="Q410" i="1"/>
  <c r="Q406" i="1"/>
  <c r="Q62" i="1"/>
  <c r="Q66" i="1"/>
  <c r="Q120" i="1" l="1"/>
  <c r="Q63" i="1" l="1"/>
  <c r="Q210" i="1"/>
  <c r="Q267" i="1"/>
  <c r="T324" i="1" a="1"/>
  <c r="T324" i="1" s="1"/>
  <c r="T394" i="1" a="1"/>
  <c r="T394" i="1" s="1"/>
  <c r="T426" i="1" a="1"/>
  <c r="T426" i="1" s="1"/>
  <c r="T425" i="1" a="1"/>
  <c r="T425" i="1" s="1"/>
  <c r="T424" i="1" a="1"/>
  <c r="T424" i="1" s="1"/>
  <c r="T423" i="1" a="1"/>
  <c r="T423" i="1" s="1"/>
  <c r="T422" i="1" a="1"/>
  <c r="T422" i="1" s="1"/>
  <c r="T421" i="1" a="1"/>
  <c r="T421" i="1" s="1"/>
  <c r="Q196" i="1"/>
  <c r="Q251" i="1"/>
  <c r="T439" i="1" a="1"/>
  <c r="T439" i="1" s="1"/>
  <c r="Q203" i="1"/>
  <c r="Q201" i="1"/>
  <c r="Q276" i="1"/>
  <c r="Q202" i="1"/>
  <c r="Q207" i="1"/>
  <c r="Q214" i="1"/>
  <c r="Q212" i="1"/>
  <c r="Q218" i="1"/>
  <c r="Q273" i="1"/>
  <c r="Q289" i="1"/>
  <c r="Q296" i="1"/>
  <c r="Q402" i="1"/>
  <c r="Q407" i="1"/>
  <c r="Q456" i="1"/>
  <c r="Q200" i="1" l="1"/>
  <c r="Q195" i="1"/>
  <c r="T453" i="1" a="1"/>
  <c r="T453" i="1" s="1"/>
  <c r="T444" i="1" a="1"/>
  <c r="T444" i="1" s="1"/>
  <c r="T443" i="1" a="1"/>
  <c r="T443" i="1" s="1"/>
  <c r="T442" i="1" a="1"/>
  <c r="T442" i="1" s="1"/>
  <c r="T440" i="1" a="1"/>
  <c r="T440" i="1" s="1"/>
  <c r="T437" i="1" a="1"/>
  <c r="T437" i="1" s="1"/>
  <c r="T432" i="1" a="1"/>
  <c r="T432" i="1" s="1"/>
  <c r="T431" i="1" a="1"/>
  <c r="T431" i="1" s="1"/>
  <c r="T430" i="1" a="1"/>
  <c r="T430" i="1" s="1"/>
  <c r="T427" i="1" a="1"/>
  <c r="T427" i="1" s="1"/>
  <c r="T420" i="1" a="1"/>
  <c r="T420" i="1" s="1"/>
  <c r="T419" i="1" a="1"/>
  <c r="T419" i="1" s="1"/>
  <c r="Q199" i="1" l="1"/>
  <c r="Q330" i="1"/>
  <c r="Q317" i="1"/>
  <c r="Q58" i="1"/>
  <c r="Q316" i="1" l="1"/>
  <c r="Q194" i="1"/>
  <c r="T367" i="1" l="1" a="1"/>
  <c r="T367" i="1" s="1"/>
  <c r="T366" i="1" a="1"/>
  <c r="T366" i="1" s="1"/>
  <c r="T365" i="1" a="1"/>
  <c r="T365" i="1" s="1"/>
  <c r="T364" i="1" a="1"/>
  <c r="T364" i="1" s="1"/>
  <c r="T362" i="1" a="1"/>
  <c r="T362" i="1" s="1"/>
  <c r="T359" i="1" a="1"/>
  <c r="T359" i="1" s="1"/>
  <c r="T358" i="1" a="1"/>
  <c r="T358" i="1" s="1"/>
  <c r="T357" i="1" a="1"/>
  <c r="T357" i="1" s="1"/>
  <c r="T356" i="1" a="1"/>
  <c r="T356" i="1" s="1"/>
  <c r="T355" i="1" a="1"/>
  <c r="T355" i="1" s="1"/>
  <c r="T354" i="1" a="1"/>
  <c r="T354" i="1" s="1"/>
  <c r="T351" i="1" a="1"/>
  <c r="T351" i="1" s="1"/>
  <c r="T350" i="1" a="1"/>
  <c r="T350" i="1" s="1"/>
  <c r="T343" i="1" a="1"/>
  <c r="T343" i="1" s="1"/>
  <c r="T342" i="1" a="1"/>
  <c r="T342" i="1" s="1"/>
  <c r="T340" i="1" a="1"/>
  <c r="T340" i="1" s="1"/>
  <c r="T339" i="1" a="1"/>
  <c r="T339" i="1" s="1"/>
  <c r="T335" i="1" a="1"/>
  <c r="T335" i="1" s="1"/>
  <c r="T332" i="1" a="1"/>
  <c r="T332" i="1" s="1"/>
  <c r="T331" i="1" a="1"/>
  <c r="T331" i="1" s="1"/>
  <c r="T330" i="1" a="1"/>
  <c r="T330" i="1" s="1"/>
  <c r="T329" i="1" a="1"/>
  <c r="T329" i="1" s="1"/>
  <c r="T327" i="1" a="1"/>
  <c r="T327" i="1" s="1"/>
  <c r="T326" i="1" a="1"/>
  <c r="T326" i="1" s="1"/>
  <c r="T325" i="1" a="1"/>
  <c r="T325" i="1" s="1"/>
  <c r="T320" i="1" a="1"/>
  <c r="T320" i="1" s="1"/>
  <c r="T309" i="1" a="1"/>
  <c r="T309" i="1" s="1"/>
  <c r="T305" i="1" a="1"/>
  <c r="T305" i="1" s="1"/>
  <c r="T294" i="1" a="1"/>
  <c r="T294" i="1" s="1"/>
  <c r="T285" i="1" a="1"/>
  <c r="T285" i="1" s="1"/>
  <c r="T150" i="1" a="1"/>
  <c r="T150" i="1" s="1"/>
  <c r="Q65" i="1" l="1"/>
  <c r="Q191" i="1"/>
  <c r="Q183" i="1"/>
  <c r="Q245" i="1"/>
  <c r="Q236" i="1"/>
  <c r="T418" i="1" a="1"/>
  <c r="T418" i="1" s="1"/>
  <c r="T417" i="1" a="1"/>
  <c r="T417" i="1" s="1"/>
  <c r="T416" i="1" a="1"/>
  <c r="T416" i="1" s="1"/>
  <c r="T414" i="1" a="1"/>
  <c r="T414" i="1" s="1"/>
  <c r="T413" i="1" a="1"/>
  <c r="T413" i="1" s="1"/>
  <c r="T411" i="1" a="1"/>
  <c r="T411" i="1" s="1"/>
  <c r="T410" i="1" a="1"/>
  <c r="T410" i="1" s="1"/>
  <c r="T401" i="1" a="1"/>
  <c r="T401" i="1" s="1"/>
  <c r="T400" i="1" a="1"/>
  <c r="T400" i="1" s="1"/>
  <c r="T399" i="1" a="1"/>
  <c r="T399" i="1" s="1"/>
  <c r="T397" i="1" a="1"/>
  <c r="T397" i="1" s="1"/>
  <c r="T396" i="1" a="1"/>
  <c r="T396" i="1" s="1"/>
  <c r="T395" i="1" a="1"/>
  <c r="T395" i="1" s="1"/>
  <c r="T393" i="1" a="1"/>
  <c r="T393" i="1" s="1"/>
  <c r="T392" i="1" a="1"/>
  <c r="T392" i="1" s="1"/>
  <c r="T391" i="1" a="1"/>
  <c r="T391" i="1" s="1"/>
  <c r="T389" i="1" a="1"/>
  <c r="T389" i="1" s="1"/>
  <c r="T388" i="1" a="1"/>
  <c r="T388" i="1" s="1"/>
  <c r="T387" i="1" a="1"/>
  <c r="T387" i="1" s="1"/>
  <c r="T386" i="1" a="1"/>
  <c r="T386" i="1" s="1"/>
  <c r="T385" i="1" a="1"/>
  <c r="T385" i="1" s="1"/>
  <c r="T384" i="1" a="1"/>
  <c r="T384" i="1" s="1"/>
  <c r="T383" i="1" a="1"/>
  <c r="T383" i="1" s="1"/>
  <c r="T382" i="1" a="1"/>
  <c r="T382" i="1" s="1"/>
  <c r="Q75" i="1" l="1"/>
  <c r="Q138" i="1"/>
  <c r="Q188" i="1" l="1"/>
  <c r="Q187" i="1"/>
  <c r="Q61" i="1"/>
  <c r="Q284" i="1"/>
  <c r="Q92" i="1"/>
  <c r="Q82" i="1"/>
  <c r="Q149" i="1"/>
  <c r="Q144" i="1"/>
  <c r="Q186" i="1"/>
  <c r="Q193" i="1"/>
  <c r="Q197" i="1"/>
  <c r="Q198" i="1"/>
  <c r="Q100" i="1"/>
  <c r="Q192" i="1"/>
  <c r="Q119" i="1"/>
  <c r="Q189" i="1"/>
  <c r="Q285" i="1"/>
  <c r="Q185" i="1"/>
  <c r="Q228" i="1"/>
  <c r="Q315" i="1"/>
  <c r="Q148" i="1"/>
  <c r="Q143" i="1"/>
  <c r="Q60" i="1"/>
  <c r="N74" i="1"/>
  <c r="Q29" i="1"/>
  <c r="Q59" i="1"/>
  <c r="Q90" i="1"/>
  <c r="Q89" i="1"/>
  <c r="Q314" i="1"/>
  <c r="Q269" i="1"/>
  <c r="Q86" i="1"/>
  <c r="Q227" i="1"/>
  <c r="Q313" i="1"/>
  <c r="Q88" i="1"/>
  <c r="Q137" i="1"/>
  <c r="Q147" i="1"/>
  <c r="Q146" i="1"/>
  <c r="Q79" i="1"/>
  <c r="K29" i="1"/>
  <c r="Q41" i="1"/>
  <c r="Q40" i="1"/>
  <c r="T368" i="1" a="1"/>
  <c r="T368" i="1" s="1"/>
  <c r="Q455" i="1"/>
  <c r="Q42" i="1"/>
  <c r="Q445" i="1"/>
  <c r="Q401" i="1"/>
  <c r="Q206" i="1"/>
  <c r="U455" i="1" l="1"/>
  <c r="S455" i="1"/>
  <c r="Q444" i="1" l="1"/>
  <c r="Q400" i="1"/>
  <c r="Q443" i="1"/>
  <c r="Q399" i="1"/>
  <c r="Q303" i="1"/>
  <c r="T381" i="1" l="1" a="1"/>
  <c r="T381" i="1" s="1"/>
  <c r="Q37" i="1"/>
  <c r="Q398" i="1"/>
  <c r="Q56" i="1"/>
  <c r="T352" i="1" a="1"/>
  <c r="T352" i="1" s="1"/>
  <c r="Q57" i="1"/>
  <c r="Q302" i="1" l="1"/>
  <c r="Q81" i="1"/>
  <c r="T377" i="1" a="1"/>
  <c r="T377" i="1" s="1"/>
  <c r="T373" i="1" a="1"/>
  <c r="T373" i="1" s="1"/>
  <c r="T370" i="1" a="1"/>
  <c r="T370" i="1" s="1"/>
  <c r="T363" i="1" a="1"/>
  <c r="T363" i="1" s="1"/>
  <c r="T349" i="1" a="1"/>
  <c r="T349" i="1" s="1"/>
  <c r="T348" i="1" a="1"/>
  <c r="T348" i="1" s="1"/>
  <c r="T347" i="1" a="1"/>
  <c r="T347" i="1" s="1"/>
  <c r="T346" i="1" a="1"/>
  <c r="T346" i="1" s="1"/>
  <c r="T345" i="1" a="1"/>
  <c r="T345" i="1" s="1"/>
  <c r="T338" i="1" a="1"/>
  <c r="T338" i="1" s="1"/>
  <c r="T337" i="1" a="1"/>
  <c r="T337" i="1" s="1"/>
  <c r="T334" i="1" a="1"/>
  <c r="T334" i="1" s="1"/>
  <c r="T333" i="1" a="1"/>
  <c r="T333" i="1" s="1"/>
  <c r="T328" i="1" a="1"/>
  <c r="T328" i="1" s="1"/>
  <c r="T323" i="1" a="1"/>
  <c r="T323" i="1" s="1"/>
  <c r="T322" i="1" a="1"/>
  <c r="T322" i="1" s="1"/>
  <c r="T321" i="1" a="1"/>
  <c r="T321" i="1" s="1"/>
  <c r="T319" i="1" a="1"/>
  <c r="T319" i="1" s="1"/>
  <c r="T318" i="1" a="1"/>
  <c r="T318" i="1" s="1"/>
  <c r="T316" i="1" a="1"/>
  <c r="T316" i="1" s="1"/>
  <c r="T315" i="1" a="1"/>
  <c r="T315" i="1" s="1"/>
  <c r="T314" i="1" a="1"/>
  <c r="T314" i="1" s="1"/>
  <c r="T313" i="1" a="1"/>
  <c r="T313" i="1" s="1"/>
  <c r="T311" i="1" a="1"/>
  <c r="T311" i="1" s="1"/>
  <c r="T310" i="1" a="1"/>
  <c r="T310" i="1" s="1"/>
  <c r="T303" i="1" a="1"/>
  <c r="T303" i="1" s="1"/>
  <c r="T302" i="1" a="1"/>
  <c r="T302" i="1" s="1"/>
  <c r="T301" i="1" a="1"/>
  <c r="T301" i="1" s="1"/>
  <c r="T299" i="1" a="1"/>
  <c r="T299" i="1" s="1"/>
  <c r="T298" i="1" a="1"/>
  <c r="T298" i="1" s="1"/>
  <c r="T295" i="1" a="1"/>
  <c r="T295" i="1" s="1"/>
  <c r="T291" i="1" a="1"/>
  <c r="T291" i="1" s="1"/>
  <c r="T283" i="1" a="1"/>
  <c r="T283" i="1" s="1"/>
  <c r="T280" i="1" a="1"/>
  <c r="T280" i="1" s="1"/>
  <c r="T279" i="1" a="1"/>
  <c r="T279" i="1" s="1"/>
  <c r="T268" i="1" a="1"/>
  <c r="T268" i="1" s="1"/>
  <c r="T101" i="1" a="1"/>
  <c r="T101" i="1" s="1"/>
  <c r="T77" i="1" a="1"/>
  <c r="T77" i="1" s="1"/>
  <c r="T76" i="1" a="1"/>
  <c r="T76" i="1" s="1"/>
  <c r="T61" i="1" a="1"/>
  <c r="T61" i="1" s="1"/>
  <c r="T52" i="1" a="1"/>
  <c r="T52" i="1" s="1"/>
  <c r="T51" i="1" a="1"/>
  <c r="T51" i="1" s="1"/>
  <c r="T33" i="1" a="1"/>
  <c r="T33" i="1" s="1"/>
  <c r="T23" i="1" a="1"/>
  <c r="T23" i="1" s="1"/>
  <c r="T19" i="1" a="1"/>
  <c r="T19" i="1" s="1"/>
  <c r="Q55" i="1"/>
  <c r="Q222" i="1"/>
  <c r="Q312" i="1"/>
  <c r="Q54" i="1"/>
  <c r="Q326" i="1"/>
  <c r="Q442" i="1"/>
  <c r="Q397" i="1"/>
  <c r="Q311" i="1" l="1"/>
  <c r="Q263" i="1" l="1"/>
  <c r="O101" i="1"/>
  <c r="Q441" i="1"/>
  <c r="Q396" i="1"/>
  <c r="Q395" i="1"/>
  <c r="Q268" i="1"/>
  <c r="Q440" i="1"/>
  <c r="Q394" i="1"/>
  <c r="T154" i="1" l="1" a="1"/>
  <c r="T154" i="1" s="1"/>
  <c r="N242" i="1"/>
  <c r="T308" i="1" l="1" a="1"/>
  <c r="T308" i="1" s="1"/>
  <c r="N204" i="1" l="1"/>
  <c r="Q80" i="1"/>
  <c r="Q53" i="1"/>
  <c r="Q26" i="1"/>
  <c r="Q27" i="1"/>
  <c r="Q25" i="1"/>
  <c r="Q23" i="1"/>
  <c r="Q182" i="1"/>
  <c r="Q266" i="1"/>
  <c r="Q265" i="1"/>
  <c r="Q288" i="1"/>
  <c r="Q118" i="1"/>
  <c r="Q247" i="1"/>
  <c r="Q283" i="1"/>
  <c r="Q439" i="1"/>
  <c r="Q393" i="1"/>
  <c r="Q438" i="1"/>
  <c r="T344" i="1" a="1"/>
  <c r="T344" i="1" s="1"/>
  <c r="T312" i="1" a="1"/>
  <c r="T312" i="1" s="1"/>
  <c r="T284" i="1" a="1"/>
  <c r="T284" i="1" s="1"/>
  <c r="T282" i="1" a="1"/>
  <c r="T282" i="1" s="1"/>
  <c r="T281" i="1" a="1"/>
  <c r="T281" i="1" s="1"/>
  <c r="T277" i="1" a="1"/>
  <c r="T277" i="1" s="1"/>
  <c r="T269" i="1" a="1"/>
  <c r="T269" i="1" s="1"/>
  <c r="Q135" i="1"/>
  <c r="Q391" i="1"/>
  <c r="Q36" i="1"/>
  <c r="N213" i="1"/>
  <c r="Q24" i="1" l="1"/>
  <c r="Q239" i="1"/>
  <c r="Q389" i="1"/>
  <c r="Q392" i="1"/>
  <c r="Q310" i="1"/>
  <c r="Q329" i="1" l="1"/>
  <c r="Q437" i="1"/>
  <c r="Q390" i="1"/>
  <c r="Q52" i="1"/>
  <c r="Q51" i="1"/>
  <c r="Q180" i="1"/>
  <c r="Q301" i="1"/>
  <c r="Q309" i="1"/>
  <c r="Q74" i="1" l="1"/>
  <c r="Q178" i="1"/>
  <c r="Q436" i="1"/>
  <c r="Q22" i="1"/>
  <c r="Q216" i="1" l="1"/>
  <c r="Q179" i="1"/>
  <c r="Q85" i="1"/>
  <c r="Q435" i="1"/>
  <c r="Q388" i="1"/>
  <c r="T155" i="1" a="1"/>
  <c r="T155" i="1" s="1"/>
  <c r="T153" i="1" a="1"/>
  <c r="T153" i="1" s="1"/>
  <c r="Q387" i="1" l="1"/>
  <c r="K145" i="1"/>
  <c r="Q233" i="1"/>
  <c r="T98" i="1" a="1"/>
  <c r="T98" i="1" s="1"/>
  <c r="Q130" i="1" l="1"/>
  <c r="Q49" i="1"/>
  <c r="K49" i="1"/>
  <c r="T297" i="1" a="1"/>
  <c r="T297" i="1" s="1"/>
  <c r="T290" i="1" a="1"/>
  <c r="T290" i="1" s="1"/>
  <c r="T278" i="1" a="1"/>
  <c r="T278" i="1" s="1"/>
  <c r="T256" i="1" a="1"/>
  <c r="T256" i="1" s="1"/>
  <c r="T254" i="1" a="1"/>
  <c r="T254" i="1" s="1"/>
  <c r="T249" i="1" a="1"/>
  <c r="T249" i="1" s="1"/>
  <c r="T246" i="1" a="1"/>
  <c r="T246" i="1" s="1"/>
  <c r="T245" i="1" a="1"/>
  <c r="T245" i="1" s="1"/>
  <c r="T244" i="1" a="1"/>
  <c r="T244" i="1" s="1"/>
  <c r="T243" i="1" a="1"/>
  <c r="T243" i="1" s="1"/>
  <c r="T242" i="1" a="1"/>
  <c r="T242" i="1" s="1"/>
  <c r="T241" i="1" a="1"/>
  <c r="T241" i="1" s="1"/>
  <c r="T240" i="1" a="1"/>
  <c r="T240" i="1" s="1"/>
  <c r="T239" i="1" a="1"/>
  <c r="T239" i="1" s="1"/>
  <c r="T238" i="1" a="1"/>
  <c r="T238" i="1" s="1"/>
  <c r="T183" i="1" a="1"/>
  <c r="T183" i="1" s="1"/>
  <c r="T180" i="1" a="1"/>
  <c r="T180" i="1" s="1"/>
  <c r="Q117" i="1"/>
  <c r="Q452" i="1"/>
  <c r="Q168" i="1"/>
  <c r="Q83" i="1"/>
  <c r="Q294" i="1"/>
  <c r="Q238" i="1"/>
  <c r="Q344" i="1"/>
  <c r="Q321" i="1"/>
  <c r="Q167" i="1"/>
  <c r="Q116" i="1"/>
  <c r="Q107" i="1"/>
  <c r="Q101" i="1"/>
  <c r="Q343" i="1"/>
  <c r="Q277" i="1"/>
  <c r="Q342" i="1"/>
  <c r="Q341" i="1"/>
  <c r="Q340" i="1"/>
  <c r="Q334" i="1"/>
  <c r="Q177" i="1"/>
  <c r="Q287" i="1"/>
  <c r="Q176" i="1"/>
  <c r="Q175" i="1"/>
  <c r="Q295" i="1"/>
  <c r="Q174" i="1"/>
  <c r="Q132" i="1"/>
  <c r="Q172" i="1"/>
  <c r="Q131" i="1"/>
  <c r="Q150" i="1"/>
  <c r="Q320" i="1"/>
  <c r="Q171" i="1"/>
  <c r="Q170" i="1"/>
  <c r="Q78" i="1"/>
  <c r="Q34" i="1"/>
  <c r="Q244" i="1"/>
  <c r="Q169" i="1"/>
  <c r="Q424" i="1"/>
  <c r="Q386" i="1"/>
  <c r="Q112" i="1"/>
  <c r="Q422" i="1"/>
  <c r="Q385" i="1"/>
  <c r="Q145" i="1"/>
  <c r="T156" i="1" a="1"/>
  <c r="T156" i="1" s="1"/>
  <c r="Q50" i="1" l="1"/>
  <c r="Q142" i="1"/>
  <c r="Q173" i="1"/>
  <c r="T255" i="1" a="1"/>
  <c r="T255" i="1" s="1"/>
  <c r="T225" i="1" l="1" a="1"/>
  <c r="T225" i="1" s="1"/>
  <c r="T226" i="1" a="1"/>
  <c r="T226" i="1" s="1"/>
  <c r="T228" i="1" a="1"/>
  <c r="T228" i="1" s="1"/>
  <c r="T229" i="1" a="1"/>
  <c r="T229" i="1" s="1"/>
  <c r="T230" i="1" a="1"/>
  <c r="T230" i="1" s="1"/>
  <c r="T231" i="1" a="1"/>
  <c r="T231" i="1" s="1"/>
  <c r="T232" i="1" a="1"/>
  <c r="T232" i="1" s="1"/>
  <c r="T233" i="1" a="1"/>
  <c r="T233" i="1" s="1"/>
  <c r="T234" i="1" a="1"/>
  <c r="T234" i="1" s="1"/>
  <c r="T235" i="1" a="1"/>
  <c r="T235" i="1" s="1"/>
  <c r="T236" i="1" a="1"/>
  <c r="T236" i="1" s="1"/>
  <c r="T252" i="1" a="1"/>
  <c r="T252" i="1" s="1"/>
  <c r="T253" i="1" a="1"/>
  <c r="T253" i="1" s="1"/>
  <c r="T257" i="1" a="1"/>
  <c r="T257" i="1" s="1"/>
  <c r="T258" i="1" a="1"/>
  <c r="T258" i="1" s="1"/>
  <c r="T264" i="1" a="1"/>
  <c r="T264" i="1" s="1"/>
  <c r="T266" i="1" a="1"/>
  <c r="T266" i="1" s="1"/>
  <c r="Q433" i="1"/>
  <c r="Q48" i="1"/>
  <c r="Q434" i="1"/>
  <c r="Q308" i="1"/>
  <c r="Q99" i="1"/>
  <c r="Q134" i="1"/>
  <c r="Q181" i="1"/>
  <c r="Q325" i="1"/>
  <c r="Q64" i="1"/>
  <c r="Q67" i="1"/>
  <c r="Q136" i="1"/>
  <c r="Q184" i="1"/>
  <c r="Q106" i="1"/>
  <c r="T206" i="1" a="1"/>
  <c r="T206" i="1" s="1"/>
  <c r="Q163" i="1" l="1"/>
  <c r="Q162" i="1"/>
  <c r="Q45" i="1"/>
  <c r="Q21" i="1"/>
  <c r="T215" i="1" a="1"/>
  <c r="T215" i="1" s="1"/>
  <c r="Q237" i="1"/>
  <c r="Q292" i="1"/>
  <c r="T205" i="1" a="1"/>
  <c r="T205" i="1" s="1"/>
  <c r="T204" i="1" a="1"/>
  <c r="T204" i="1" s="1"/>
  <c r="T7" i="1" l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Q4" i="1"/>
  <c r="Q5" i="1"/>
  <c r="T224" i="1" l="1" a="1"/>
  <c r="T224" i="1" s="1"/>
  <c r="Q44" i="1" l="1"/>
  <c r="Q111" i="1" l="1"/>
  <c r="Q260" i="1"/>
  <c r="Q43" i="1"/>
  <c r="T145" i="1" a="1"/>
  <c r="T145" i="1" s="1"/>
  <c r="T3" i="1" a="1"/>
  <c r="T3" i="1" s="1"/>
  <c r="T4" i="1" a="1"/>
  <c r="T4" i="1" s="1"/>
  <c r="T5" i="1" a="1"/>
  <c r="T5" i="1" s="1"/>
  <c r="T6" i="1" a="1"/>
  <c r="T6" i="1" s="1"/>
  <c r="T17" i="1" a="1"/>
  <c r="T17" i="1" s="1"/>
  <c r="T18" i="1" a="1"/>
  <c r="T18" i="1" s="1"/>
  <c r="T20" i="1" a="1"/>
  <c r="T20" i="1" s="1"/>
  <c r="T21" i="1" a="1"/>
  <c r="T21" i="1" s="1"/>
  <c r="T22" i="1" a="1"/>
  <c r="T22" i="1" s="1"/>
  <c r="T24" i="1" a="1"/>
  <c r="T24" i="1" s="1"/>
  <c r="T25" i="1" a="1"/>
  <c r="T25" i="1" s="1"/>
  <c r="T26" i="1" a="1"/>
  <c r="T26" i="1" s="1"/>
  <c r="T27" i="1" a="1"/>
  <c r="T27" i="1" s="1"/>
  <c r="T29" i="1" a="1"/>
  <c r="T29" i="1" s="1"/>
  <c r="T34" i="1" a="1"/>
  <c r="T34" i="1" s="1"/>
  <c r="T38" i="1" a="1"/>
  <c r="T38" i="1" s="1"/>
  <c r="T39" i="1" a="1"/>
  <c r="T39" i="1" s="1"/>
  <c r="T40" i="1" a="1"/>
  <c r="T40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2" i="1" a="1"/>
  <c r="T62" i="1" s="1"/>
  <c r="T63" i="1" a="1"/>
  <c r="T63" i="1" s="1"/>
  <c r="T64" i="1" a="1"/>
  <c r="T64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8" i="1" a="1"/>
  <c r="T78" i="1" s="1"/>
  <c r="T80" i="1" a="1"/>
  <c r="T80" i="1" s="1"/>
  <c r="T81" i="1" a="1"/>
  <c r="T81" i="1" s="1"/>
  <c r="T82" i="1" a="1"/>
  <c r="T82" i="1" s="1"/>
  <c r="T83" i="1" a="1"/>
  <c r="T83" i="1" s="1"/>
  <c r="T84" i="1" a="1"/>
  <c r="T84" i="1" s="1"/>
  <c r="T85" i="1" a="1"/>
  <c r="T85" i="1" s="1"/>
  <c r="T87" i="1" a="1"/>
  <c r="T87" i="1" s="1"/>
  <c r="T90" i="1" a="1"/>
  <c r="T90" i="1" s="1"/>
  <c r="T93" i="1" a="1"/>
  <c r="T93" i="1" s="1"/>
  <c r="T94" i="1" a="1"/>
  <c r="T94" i="1" s="1"/>
  <c r="T95" i="1" a="1"/>
  <c r="T95" i="1" s="1"/>
  <c r="T96" i="1" a="1"/>
  <c r="T96" i="1" s="1"/>
  <c r="T97" i="1" a="1"/>
  <c r="T97" i="1" s="1"/>
  <c r="T99" i="1" a="1"/>
  <c r="T99" i="1" s="1"/>
  <c r="T100" i="1" a="1"/>
  <c r="T100" i="1" s="1"/>
  <c r="T102" i="1" a="1"/>
  <c r="T102" i="1" s="1"/>
  <c r="T103" i="1" a="1"/>
  <c r="T103" i="1" s="1"/>
  <c r="T104" i="1" a="1"/>
  <c r="T104" i="1" s="1"/>
  <c r="T105" i="1" a="1"/>
  <c r="T105" i="1" s="1"/>
  <c r="T106" i="1" a="1"/>
  <c r="T106" i="1" s="1"/>
  <c r="T107" i="1" a="1"/>
  <c r="T107" i="1" s="1"/>
  <c r="T108" i="1" a="1"/>
  <c r="T108" i="1" s="1"/>
  <c r="T109" i="1" a="1"/>
  <c r="T109" i="1" s="1"/>
  <c r="T110" i="1" a="1"/>
  <c r="T110" i="1" s="1"/>
  <c r="T111" i="1" a="1"/>
  <c r="T111" i="1" s="1"/>
  <c r="T112" i="1" a="1"/>
  <c r="T112" i="1" s="1"/>
  <c r="T113" i="1" a="1"/>
  <c r="T113" i="1" s="1"/>
  <c r="T114" i="1" a="1"/>
  <c r="T114" i="1" s="1"/>
  <c r="T115" i="1" a="1"/>
  <c r="T115" i="1" s="1"/>
  <c r="T116" i="1" a="1"/>
  <c r="T116" i="1" s="1"/>
  <c r="T117" i="1" a="1"/>
  <c r="T117" i="1" s="1"/>
  <c r="T118" i="1" a="1"/>
  <c r="T118" i="1" s="1"/>
  <c r="T119" i="1" a="1"/>
  <c r="T119" i="1" s="1"/>
  <c r="T121" i="1" a="1"/>
  <c r="T121" i="1" s="1"/>
  <c r="T122" i="1" a="1"/>
  <c r="T122" i="1" s="1"/>
  <c r="T123" i="1" a="1"/>
  <c r="T123" i="1" s="1"/>
  <c r="T124" i="1" a="1"/>
  <c r="T124" i="1" s="1"/>
  <c r="T125" i="1" a="1"/>
  <c r="T125" i="1" s="1"/>
  <c r="T126" i="1" a="1"/>
  <c r="T126" i="1" s="1"/>
  <c r="T127" i="1" a="1"/>
  <c r="T127" i="1" s="1"/>
  <c r="T128" i="1" a="1"/>
  <c r="T128" i="1" s="1"/>
  <c r="T129" i="1" a="1"/>
  <c r="T129" i="1" s="1"/>
  <c r="T130" i="1" a="1"/>
  <c r="T130" i="1" s="1"/>
  <c r="T131" i="1" a="1"/>
  <c r="T131" i="1" s="1"/>
  <c r="T132" i="1" a="1"/>
  <c r="T132" i="1" s="1"/>
  <c r="T133" i="1" a="1"/>
  <c r="T133" i="1" s="1"/>
  <c r="T134" i="1" a="1"/>
  <c r="T134" i="1" s="1"/>
  <c r="T135" i="1" a="1"/>
  <c r="T135" i="1" s="1"/>
  <c r="T136" i="1" a="1"/>
  <c r="T136" i="1" s="1"/>
  <c r="T137" i="1" a="1"/>
  <c r="T137" i="1" s="1"/>
  <c r="T139" i="1" a="1"/>
  <c r="T139" i="1" s="1"/>
  <c r="T140" i="1" a="1"/>
  <c r="T140" i="1" s="1"/>
  <c r="T141" i="1" a="1"/>
  <c r="T141" i="1" s="1"/>
  <c r="T142" i="1" a="1"/>
  <c r="T142" i="1" s="1"/>
  <c r="T146" i="1" a="1"/>
  <c r="T146" i="1" s="1"/>
  <c r="T147" i="1" a="1"/>
  <c r="T147" i="1" s="1"/>
  <c r="T151" i="1" a="1"/>
  <c r="T151" i="1" s="1"/>
  <c r="T152" i="1" a="1"/>
  <c r="T152" i="1" s="1"/>
  <c r="T157" i="1" a="1"/>
  <c r="T157" i="1" s="1"/>
  <c r="T158" i="1" a="1"/>
  <c r="T158" i="1" s="1"/>
  <c r="T159" i="1" a="1"/>
  <c r="T159" i="1" s="1"/>
  <c r="T161" i="1" a="1"/>
  <c r="T161" i="1" s="1"/>
  <c r="T162" i="1" a="1"/>
  <c r="T162" i="1" s="1"/>
  <c r="T163" i="1" a="1"/>
  <c r="T163" i="1" s="1"/>
  <c r="T164" i="1" a="1"/>
  <c r="T164" i="1" s="1"/>
  <c r="T165" i="1" a="1"/>
  <c r="T165" i="1" s="1"/>
  <c r="T166" i="1" a="1"/>
  <c r="T166" i="1" s="1"/>
  <c r="T167" i="1" a="1"/>
  <c r="T167" i="1" s="1"/>
  <c r="T168" i="1" a="1"/>
  <c r="T168" i="1" s="1"/>
  <c r="T169" i="1" a="1"/>
  <c r="T169" i="1" s="1"/>
  <c r="T170" i="1" a="1"/>
  <c r="T170" i="1" s="1"/>
  <c r="T171" i="1" a="1"/>
  <c r="T171" i="1" s="1"/>
  <c r="T172" i="1" a="1"/>
  <c r="T172" i="1" s="1"/>
  <c r="T173" i="1" a="1"/>
  <c r="T173" i="1" s="1"/>
  <c r="T174" i="1" a="1"/>
  <c r="T174" i="1" s="1"/>
  <c r="T175" i="1" a="1"/>
  <c r="T175" i="1" s="1"/>
  <c r="T176" i="1" a="1"/>
  <c r="T176" i="1" s="1"/>
  <c r="T177" i="1" a="1"/>
  <c r="T177" i="1" s="1"/>
  <c r="T178" i="1" a="1"/>
  <c r="T178" i="1" s="1"/>
  <c r="T179" i="1" a="1"/>
  <c r="T179" i="1" s="1"/>
  <c r="T181" i="1" a="1"/>
  <c r="T181" i="1" s="1"/>
  <c r="T182" i="1" a="1"/>
  <c r="T182" i="1" s="1"/>
  <c r="T184" i="1" a="1"/>
  <c r="T184" i="1" s="1"/>
  <c r="T190" i="1" a="1"/>
  <c r="T190" i="1" s="1"/>
  <c r="T191" i="1" a="1"/>
  <c r="T191" i="1" s="1"/>
  <c r="T196" i="1" a="1"/>
  <c r="T196" i="1" s="1"/>
  <c r="T208" i="1" a="1"/>
  <c r="T208" i="1" s="1"/>
  <c r="T209" i="1" a="1"/>
  <c r="T209" i="1" s="1"/>
  <c r="T213" i="1" a="1"/>
  <c r="T213" i="1" s="1"/>
  <c r="T216" i="1" a="1"/>
  <c r="T216" i="1" s="1"/>
  <c r="T217" i="1" a="1"/>
  <c r="T217" i="1" s="1"/>
  <c r="T219" i="1" a="1"/>
  <c r="T219" i="1" s="1"/>
  <c r="T220" i="1" a="1"/>
  <c r="T220" i="1" s="1"/>
  <c r="T221" i="1" a="1"/>
  <c r="T221" i="1" s="1"/>
  <c r="T222" i="1" a="1"/>
  <c r="T222" i="1" s="1"/>
  <c r="T223" i="1" a="1"/>
  <c r="T223" i="1" s="1"/>
  <c r="Q234" i="1"/>
  <c r="Q318" i="1"/>
  <c r="Q2" i="1"/>
  <c r="Q235" i="1"/>
  <c r="Q319" i="1"/>
  <c r="Q327" i="1"/>
  <c r="Q453" i="1"/>
  <c r="Q345" i="1"/>
  <c r="Q414" i="1"/>
  <c r="Q219" i="1"/>
  <c r="Q121" i="1"/>
  <c r="Q346" i="1"/>
  <c r="Q347" i="1"/>
  <c r="Q113" i="1"/>
  <c r="Q6" i="1"/>
  <c r="Q348" i="1"/>
  <c r="Q349" i="1"/>
  <c r="Q7" i="1"/>
  <c r="Q8" i="1"/>
  <c r="Q9" i="1"/>
  <c r="Q104" i="1"/>
  <c r="Q68" i="1"/>
  <c r="Q350" i="1"/>
  <c r="Q351" i="1"/>
  <c r="Q352" i="1"/>
  <c r="Q353" i="1"/>
  <c r="Q354" i="1"/>
  <c r="Q415" i="1"/>
  <c r="Q355" i="1"/>
  <c r="Q220" i="1"/>
  <c r="Q93" i="1"/>
  <c r="Q123" i="1"/>
  <c r="Q356" i="1"/>
  <c r="Q357" i="1"/>
  <c r="Q358" i="1"/>
  <c r="Q359" i="1"/>
  <c r="Q416" i="1"/>
  <c r="Q360" i="1"/>
  <c r="Q10" i="1"/>
  <c r="Q290" i="1"/>
  <c r="Q213" i="1"/>
  <c r="Q39" i="1"/>
  <c r="Q361" i="1"/>
  <c r="Q94" i="1"/>
  <c r="Q190" i="1"/>
  <c r="Q304" i="1"/>
  <c r="Q95" i="1"/>
  <c r="Q105" i="1"/>
  <c r="Q297" i="1"/>
  <c r="Q11" i="1"/>
  <c r="Q12" i="1"/>
  <c r="Q298" i="1"/>
  <c r="Q69" i="1"/>
  <c r="Q124" i="1"/>
  <c r="Q362" i="1"/>
  <c r="Q417" i="1"/>
  <c r="Q363" i="1"/>
  <c r="Q364" i="1"/>
  <c r="Q299" i="1"/>
  <c r="Q365" i="1"/>
  <c r="Q411" i="1"/>
  <c r="Q249" i="1"/>
  <c r="Q252" i="1"/>
  <c r="Q305" i="1"/>
  <c r="Q205" i="1"/>
  <c r="Q97" i="1"/>
  <c r="Q96" i="1"/>
  <c r="Q366" i="1"/>
  <c r="Q38" i="1"/>
  <c r="Q248" i="1"/>
  <c r="Q152" i="1"/>
  <c r="Q278" i="1"/>
  <c r="Q139" i="1"/>
  <c r="Q253" i="1"/>
  <c r="Q291" i="1"/>
  <c r="Q335" i="1"/>
  <c r="Q322" i="1"/>
  <c r="Q367" i="1"/>
  <c r="Q153" i="1"/>
  <c r="Q208" i="1"/>
  <c r="Q13" i="1"/>
  <c r="Q257" i="1"/>
  <c r="Q258" i="1"/>
  <c r="Q368" i="1"/>
  <c r="Q418" i="1"/>
  <c r="Q369" i="1"/>
  <c r="Q370" i="1"/>
  <c r="Q371" i="1"/>
  <c r="Q76" i="1"/>
  <c r="Q328" i="1"/>
  <c r="Q154" i="1"/>
  <c r="Q372" i="1"/>
  <c r="Q419" i="1"/>
  <c r="Q140" i="1"/>
  <c r="Q155" i="1"/>
  <c r="Q103" i="1"/>
  <c r="Q221" i="1"/>
  <c r="Q232" i="1"/>
  <c r="Q156" i="1"/>
  <c r="Q33" i="1"/>
  <c r="Q125" i="1"/>
  <c r="Q240" i="1"/>
  <c r="Q3" i="1"/>
  <c r="Q373" i="1"/>
  <c r="Q331" i="1"/>
  <c r="Q14" i="1"/>
  <c r="Q279" i="1"/>
  <c r="Q256" i="1"/>
  <c r="Q243" i="1"/>
  <c r="Q225" i="1"/>
  <c r="Q280" i="1"/>
  <c r="Q374" i="1"/>
  <c r="Q28" i="1"/>
  <c r="Q242" i="1"/>
  <c r="Q98" i="1"/>
  <c r="Q157" i="1"/>
  <c r="Q293" i="1"/>
  <c r="Q204" i="1"/>
  <c r="Q375" i="1"/>
  <c r="Q420" i="1"/>
  <c r="Q126" i="1"/>
  <c r="Q30" i="1"/>
  <c r="Q31" i="1"/>
  <c r="Q300" i="1"/>
  <c r="Q230" i="1"/>
  <c r="Q376" i="1"/>
  <c r="Q421" i="1"/>
  <c r="Q332" i="1"/>
  <c r="Q158" i="1"/>
  <c r="Q377" i="1"/>
  <c r="Q259" i="1"/>
  <c r="Q87" i="1"/>
  <c r="Q73" i="1"/>
  <c r="Q378" i="1"/>
  <c r="Q423" i="1"/>
  <c r="Q77" i="1"/>
  <c r="Q15" i="1"/>
  <c r="Q32" i="1"/>
  <c r="Q306" i="1"/>
  <c r="Q223" i="1"/>
  <c r="Q226" i="1"/>
  <c r="Q379" i="1"/>
  <c r="Q122" i="1"/>
  <c r="Q264" i="1"/>
  <c r="Q114" i="1"/>
  <c r="Q380" i="1"/>
  <c r="Q425" i="1"/>
  <c r="Q35" i="1"/>
  <c r="Q151" i="1"/>
  <c r="Q16" i="1"/>
  <c r="Q17" i="1"/>
  <c r="Q381" i="1"/>
  <c r="Q323" i="1"/>
  <c r="Q382" i="1"/>
  <c r="Q426" i="1"/>
  <c r="Q209" i="1"/>
  <c r="Q159" i="1"/>
  <c r="Q160" i="1"/>
  <c r="Q127" i="1"/>
  <c r="Q128" i="1"/>
  <c r="Q281" i="1"/>
  <c r="Q84" i="1"/>
  <c r="Q70" i="1"/>
  <c r="Q255" i="1"/>
  <c r="Q261" i="1"/>
  <c r="Q108" i="1"/>
  <c r="Q109" i="1"/>
  <c r="Q18" i="1"/>
  <c r="Q20" i="1"/>
  <c r="Q71" i="1"/>
  <c r="Q383" i="1"/>
  <c r="Q427" i="1"/>
  <c r="Q19" i="1"/>
  <c r="Q224" i="1"/>
  <c r="Q72" i="1"/>
  <c r="Q254" i="1"/>
  <c r="Q413" i="1"/>
  <c r="Q161" i="1"/>
  <c r="Q115" i="1"/>
  <c r="Q262" i="1"/>
  <c r="Q307" i="1"/>
  <c r="Q384" i="1"/>
  <c r="Q428" i="1"/>
  <c r="Q231" i="1"/>
  <c r="Q110" i="1"/>
  <c r="Q215" i="1"/>
  <c r="Q217" i="1"/>
  <c r="Q412" i="1"/>
  <c r="Q333" i="1"/>
  <c r="Q336" i="1"/>
  <c r="Q429" i="1"/>
  <c r="Q129" i="1"/>
  <c r="Q337" i="1"/>
  <c r="Q102" i="1"/>
  <c r="Q164" i="1"/>
  <c r="Q46" i="1"/>
  <c r="Q229" i="1"/>
  <c r="Q165" i="1"/>
  <c r="Q338" i="1"/>
  <c r="Q430" i="1"/>
  <c r="Q141" i="1"/>
  <c r="Q47" i="1"/>
  <c r="Q339" i="1"/>
  <c r="Q431" i="1"/>
  <c r="Q324" i="1"/>
  <c r="Q282" i="1"/>
  <c r="Q246" i="1"/>
  <c r="Q166" i="1"/>
  <c r="Q432" i="1"/>
  <c r="U91" i="1" l="1"/>
  <c r="S91" i="1"/>
  <c r="S435" i="1"/>
  <c r="U435" i="1"/>
  <c r="U419" i="1"/>
  <c r="S419" i="1"/>
  <c r="S445" i="1"/>
  <c r="U445" i="1"/>
  <c r="S431" i="1"/>
  <c r="U431" i="1"/>
  <c r="S453" i="1"/>
  <c r="U453" i="1"/>
  <c r="S324" i="1"/>
  <c r="U324" i="1"/>
  <c r="S398" i="1"/>
  <c r="U398" i="1"/>
  <c r="U356" i="1"/>
  <c r="S356" i="1"/>
  <c r="U368" i="1"/>
  <c r="S368" i="1"/>
  <c r="U393" i="1"/>
  <c r="S393" i="1"/>
  <c r="U391" i="1"/>
  <c r="S391" i="1"/>
  <c r="U371" i="1"/>
  <c r="U394" i="1"/>
  <c r="S394" i="1"/>
  <c r="S371" i="1"/>
  <c r="S376" i="1"/>
  <c r="U376" i="1"/>
  <c r="S400" i="1"/>
  <c r="U400" i="1"/>
  <c r="U396" i="1"/>
  <c r="S396" i="1"/>
  <c r="S362" i="1"/>
  <c r="U362" i="1"/>
  <c r="S350" i="1"/>
  <c r="U350" i="1"/>
  <c r="U410" i="1"/>
  <c r="S410" i="1"/>
  <c r="S248" i="1"/>
  <c r="U248" i="1"/>
  <c r="S297" i="1"/>
  <c r="U297" i="1"/>
  <c r="U277" i="1"/>
  <c r="S277" i="1"/>
  <c r="S285" i="1"/>
  <c r="U285" i="1"/>
  <c r="S454" i="1"/>
  <c r="U454" i="1"/>
  <c r="S436" i="1"/>
  <c r="U436" i="1"/>
  <c r="S438" i="1"/>
  <c r="U438" i="1"/>
  <c r="S452" i="1"/>
  <c r="U452" i="1"/>
  <c r="S441" i="1"/>
  <c r="U441" i="1"/>
  <c r="S361" i="1"/>
  <c r="U361" i="1"/>
  <c r="S429" i="1"/>
  <c r="U429" i="1"/>
  <c r="S428" i="1"/>
  <c r="U428" i="1"/>
  <c r="U434" i="1"/>
  <c r="S434" i="1"/>
  <c r="U425" i="1"/>
  <c r="S425" i="1"/>
  <c r="U423" i="1"/>
  <c r="S423" i="1"/>
  <c r="S422" i="1"/>
  <c r="U424" i="1"/>
  <c r="U422" i="1"/>
  <c r="S424" i="1"/>
  <c r="U426" i="1"/>
  <c r="S426" i="1"/>
  <c r="S421" i="1"/>
  <c r="U421" i="1"/>
  <c r="S433" i="1"/>
  <c r="U433" i="1"/>
  <c r="U439" i="1"/>
  <c r="S439" i="1"/>
  <c r="S420" i="1"/>
  <c r="U420" i="1"/>
  <c r="S427" i="1"/>
  <c r="U427" i="1"/>
  <c r="U440" i="1"/>
  <c r="S440" i="1"/>
  <c r="U437" i="1"/>
  <c r="S430" i="1"/>
  <c r="U444" i="1"/>
  <c r="S444" i="1"/>
  <c r="S437" i="1"/>
  <c r="U432" i="1"/>
  <c r="U443" i="1"/>
  <c r="S432" i="1"/>
  <c r="S443" i="1"/>
  <c r="U442" i="1"/>
  <c r="S442" i="1"/>
  <c r="U430" i="1"/>
  <c r="S412" i="1"/>
  <c r="U412" i="1"/>
  <c r="S372" i="1"/>
  <c r="U372" i="1"/>
  <c r="U343" i="1"/>
  <c r="S343" i="1"/>
  <c r="U326" i="1"/>
  <c r="S326" i="1"/>
  <c r="U325" i="1"/>
  <c r="S325" i="1"/>
  <c r="U320" i="1"/>
  <c r="S320" i="1"/>
  <c r="U355" i="1"/>
  <c r="S355" i="1"/>
  <c r="U358" i="1"/>
  <c r="U365" i="1"/>
  <c r="S358" i="1"/>
  <c r="S365" i="1"/>
  <c r="U339" i="1"/>
  <c r="S339" i="1"/>
  <c r="U150" i="1"/>
  <c r="S150" i="1"/>
  <c r="U367" i="1"/>
  <c r="S367" i="1"/>
  <c r="U294" i="1"/>
  <c r="S294" i="1"/>
  <c r="U359" i="1"/>
  <c r="S359" i="1"/>
  <c r="U335" i="1"/>
  <c r="U329" i="1"/>
  <c r="S335" i="1"/>
  <c r="S329" i="1"/>
  <c r="U354" i="1"/>
  <c r="U342" i="1"/>
  <c r="U327" i="1"/>
  <c r="S354" i="1"/>
  <c r="S342" i="1"/>
  <c r="S327" i="1"/>
  <c r="U357" i="1"/>
  <c r="U340" i="1"/>
  <c r="U364" i="1"/>
  <c r="S357" i="1"/>
  <c r="S364" i="1"/>
  <c r="S340" i="1"/>
  <c r="U351" i="1"/>
  <c r="U309" i="1"/>
  <c r="S351" i="1"/>
  <c r="S309" i="1"/>
  <c r="U330" i="1"/>
  <c r="U305" i="1"/>
  <c r="S330" i="1"/>
  <c r="S305" i="1"/>
  <c r="U366" i="1"/>
  <c r="U332" i="1"/>
  <c r="S366" i="1"/>
  <c r="S332" i="1"/>
  <c r="U331" i="1"/>
  <c r="S331" i="1"/>
  <c r="S415" i="1"/>
  <c r="U415" i="1"/>
  <c r="U392" i="1"/>
  <c r="S392" i="1"/>
  <c r="S385" i="1"/>
  <c r="U387" i="1"/>
  <c r="S387" i="1"/>
  <c r="U385" i="1"/>
  <c r="U418" i="1"/>
  <c r="S418" i="1"/>
  <c r="S384" i="1"/>
  <c r="U386" i="1"/>
  <c r="S386" i="1"/>
  <c r="U401" i="1"/>
  <c r="U384" i="1"/>
  <c r="S401" i="1"/>
  <c r="S411" i="1"/>
  <c r="U411" i="1"/>
  <c r="S388" i="1"/>
  <c r="U388" i="1"/>
  <c r="U399" i="1"/>
  <c r="S399" i="1"/>
  <c r="U397" i="1"/>
  <c r="S397" i="1"/>
  <c r="S389" i="1"/>
  <c r="S383" i="1"/>
  <c r="U382" i="1"/>
  <c r="S382" i="1"/>
  <c r="U389" i="1"/>
  <c r="U383" i="1"/>
  <c r="S395" i="1"/>
  <c r="S417" i="1"/>
  <c r="U416" i="1"/>
  <c r="S416" i="1"/>
  <c r="U414" i="1"/>
  <c r="S414" i="1"/>
  <c r="U413" i="1"/>
  <c r="S413" i="1"/>
  <c r="U395" i="1"/>
  <c r="U417" i="1"/>
  <c r="S379" i="1"/>
  <c r="U379" i="1"/>
  <c r="S378" i="1"/>
  <c r="U378" i="1"/>
  <c r="S375" i="1"/>
  <c r="U375" i="1"/>
  <c r="S333" i="1"/>
  <c r="U333" i="1"/>
  <c r="S322" i="1"/>
  <c r="U322" i="1"/>
  <c r="U349" i="1"/>
  <c r="S349" i="1"/>
  <c r="U369" i="1"/>
  <c r="S369" i="1"/>
  <c r="S380" i="1"/>
  <c r="U380" i="1"/>
  <c r="S374" i="1"/>
  <c r="U374" i="1"/>
  <c r="S341" i="1"/>
  <c r="U341" i="1"/>
  <c r="U381" i="1"/>
  <c r="S381" i="1"/>
  <c r="S352" i="1"/>
  <c r="U352" i="1"/>
  <c r="S360" i="1"/>
  <c r="U360" i="1"/>
  <c r="S336" i="1"/>
  <c r="U336" i="1"/>
  <c r="S318" i="1"/>
  <c r="U101" i="1"/>
  <c r="S101" i="1"/>
  <c r="U318" i="1"/>
  <c r="U348" i="1"/>
  <c r="S348" i="1"/>
  <c r="U346" i="1"/>
  <c r="S346" i="1"/>
  <c r="U299" i="1"/>
  <c r="S299" i="1"/>
  <c r="S23" i="1"/>
  <c r="S314" i="1"/>
  <c r="U314" i="1"/>
  <c r="U303" i="1"/>
  <c r="U23" i="1"/>
  <c r="S303" i="1"/>
  <c r="S51" i="1"/>
  <c r="U51" i="1"/>
  <c r="S33" i="1"/>
  <c r="S76" i="1"/>
  <c r="U33" i="1"/>
  <c r="U76" i="1"/>
  <c r="U319" i="1"/>
  <c r="S319" i="1"/>
  <c r="U370" i="1"/>
  <c r="S370" i="1"/>
  <c r="U337" i="1"/>
  <c r="S337" i="1"/>
  <c r="U313" i="1"/>
  <c r="U302" i="1"/>
  <c r="U328" i="1"/>
  <c r="S328" i="1"/>
  <c r="S313" i="1"/>
  <c r="S302" i="1"/>
  <c r="U338" i="1"/>
  <c r="U334" i="1"/>
  <c r="U301" i="1"/>
  <c r="U283" i="1"/>
  <c r="S283" i="1"/>
  <c r="S298" i="1"/>
  <c r="S334" i="1"/>
  <c r="S301" i="1"/>
  <c r="S338" i="1"/>
  <c r="U298" i="1"/>
  <c r="S268" i="1"/>
  <c r="U268" i="1"/>
  <c r="U19" i="1"/>
  <c r="S19" i="1"/>
  <c r="U345" i="1"/>
  <c r="U52" i="1"/>
  <c r="S323" i="1"/>
  <c r="S77" i="1"/>
  <c r="S345" i="1"/>
  <c r="U323" i="1"/>
  <c r="S52" i="1"/>
  <c r="U61" i="1"/>
  <c r="S61" i="1"/>
  <c r="U77" i="1"/>
  <c r="U316" i="1"/>
  <c r="S316" i="1"/>
  <c r="S347" i="1"/>
  <c r="U347" i="1"/>
  <c r="U321" i="1"/>
  <c r="S321" i="1"/>
  <c r="U377" i="1"/>
  <c r="U315" i="1"/>
  <c r="U291" i="1"/>
  <c r="S315" i="1"/>
  <c r="S280" i="1"/>
  <c r="U310" i="1"/>
  <c r="U280" i="1"/>
  <c r="S377" i="1"/>
  <c r="U373" i="1"/>
  <c r="U363" i="1"/>
  <c r="U311" i="1"/>
  <c r="U295" i="1"/>
  <c r="S310" i="1"/>
  <c r="S363" i="1"/>
  <c r="S311" i="1"/>
  <c r="S295" i="1"/>
  <c r="S291" i="1"/>
  <c r="S373" i="1"/>
  <c r="U279" i="1"/>
  <c r="S279" i="1"/>
  <c r="S241" i="1"/>
  <c r="U241" i="1"/>
  <c r="U180" i="1"/>
  <c r="S180" i="1"/>
  <c r="U155" i="1"/>
  <c r="S155" i="1"/>
  <c r="U154" i="1"/>
  <c r="S154" i="1"/>
  <c r="U308" i="1"/>
  <c r="S308" i="1"/>
  <c r="S344" i="1"/>
  <c r="U282" i="1"/>
  <c r="S282" i="1"/>
  <c r="U269" i="1"/>
  <c r="S269" i="1"/>
  <c r="U312" i="1"/>
  <c r="S312" i="1"/>
  <c r="U284" i="1"/>
  <c r="S284" i="1"/>
  <c r="U281" i="1"/>
  <c r="S281" i="1"/>
  <c r="U344" i="1"/>
  <c r="S288" i="1"/>
  <c r="U288" i="1"/>
  <c r="U306" i="1"/>
  <c r="S293" i="1"/>
  <c r="U293" i="1"/>
  <c r="S300" i="1"/>
  <c r="U300" i="1"/>
  <c r="S287" i="1"/>
  <c r="U287" i="1"/>
  <c r="U307" i="1"/>
  <c r="S307" i="1"/>
  <c r="U194" i="1"/>
  <c r="S194" i="1"/>
  <c r="U292" i="1"/>
  <c r="S292" i="1"/>
  <c r="S237" i="1"/>
  <c r="U237" i="1"/>
  <c r="U153" i="1"/>
  <c r="S153" i="1"/>
  <c r="S247" i="1"/>
  <c r="U247" i="1"/>
  <c r="U98" i="1"/>
  <c r="S98" i="1"/>
  <c r="U254" i="1"/>
  <c r="S254" i="1"/>
  <c r="U242" i="1"/>
  <c r="S242" i="1"/>
  <c r="U245" i="1"/>
  <c r="S245" i="1"/>
  <c r="U246" i="1"/>
  <c r="S243" i="1"/>
  <c r="S246" i="1"/>
  <c r="U243" i="1"/>
  <c r="U238" i="1"/>
  <c r="S238" i="1"/>
  <c r="U240" i="1"/>
  <c r="S240" i="1"/>
  <c r="U249" i="1"/>
  <c r="S256" i="1"/>
  <c r="S249" i="1"/>
  <c r="U256" i="1"/>
  <c r="U244" i="1"/>
  <c r="S244" i="1"/>
  <c r="U183" i="1"/>
  <c r="S183" i="1"/>
  <c r="U290" i="1"/>
  <c r="S290" i="1"/>
  <c r="S278" i="1"/>
  <c r="U278" i="1"/>
  <c r="S239" i="1"/>
  <c r="U239" i="1"/>
  <c r="U156" i="1"/>
  <c r="S156" i="1"/>
  <c r="U229" i="1"/>
  <c r="U258" i="1"/>
  <c r="S255" i="1"/>
  <c r="U255" i="1"/>
  <c r="U231" i="1"/>
  <c r="U252" i="1"/>
  <c r="S265" i="1"/>
  <c r="U265" i="1"/>
  <c r="S227" i="1"/>
  <c r="U227" i="1"/>
  <c r="S259" i="1"/>
  <c r="U259" i="1"/>
  <c r="U264" i="1"/>
  <c r="U228" i="1"/>
  <c r="U266" i="1"/>
  <c r="U225" i="1"/>
  <c r="U253" i="1"/>
  <c r="U236" i="1"/>
  <c r="U233" i="1"/>
  <c r="U235" i="1"/>
  <c r="U232" i="1"/>
  <c r="U234" i="1"/>
  <c r="U230" i="1"/>
  <c r="U257" i="1"/>
  <c r="U226" i="1"/>
  <c r="S105" i="1"/>
  <c r="S164" i="1"/>
  <c r="S83" i="1"/>
  <c r="U170" i="1"/>
  <c r="U107" i="1"/>
  <c r="U45" i="1"/>
  <c r="U44" i="1"/>
  <c r="U5" i="1"/>
  <c r="U103" i="1"/>
  <c r="U137" i="1"/>
  <c r="S233" i="1"/>
  <c r="U215" i="1"/>
  <c r="S215" i="1"/>
  <c r="S136" i="1"/>
  <c r="U147" i="1"/>
  <c r="S72" i="1"/>
  <c r="S258" i="1"/>
  <c r="S253" i="1"/>
  <c r="S206" i="1"/>
  <c r="U206" i="1"/>
  <c r="S264" i="1"/>
  <c r="U204" i="1"/>
  <c r="S204" i="1"/>
  <c r="S205" i="1"/>
  <c r="U205" i="1"/>
  <c r="S234" i="1"/>
  <c r="S252" i="1"/>
  <c r="U14" i="1"/>
  <c r="S14" i="1"/>
  <c r="S13" i="1"/>
  <c r="U13" i="1"/>
  <c r="S12" i="1"/>
  <c r="S16" i="1"/>
  <c r="U12" i="1"/>
  <c r="U16" i="1"/>
  <c r="U11" i="1"/>
  <c r="S11" i="1"/>
  <c r="S10" i="1"/>
  <c r="U10" i="1"/>
  <c r="U9" i="1"/>
  <c r="S8" i="1"/>
  <c r="S9" i="1"/>
  <c r="U8" i="1"/>
  <c r="S7" i="1"/>
  <c r="U7" i="1"/>
  <c r="U15" i="1"/>
  <c r="S15" i="1"/>
  <c r="S224" i="1"/>
  <c r="U224" i="1"/>
  <c r="S235" i="1"/>
  <c r="S236" i="1"/>
  <c r="S121" i="1"/>
  <c r="S257" i="1"/>
  <c r="U213" i="1"/>
  <c r="S232" i="1"/>
  <c r="U152" i="1"/>
  <c r="U160" i="1"/>
  <c r="S160" i="1"/>
  <c r="S140" i="1"/>
  <c r="S114" i="1"/>
  <c r="S220" i="1"/>
  <c r="S225" i="1"/>
  <c r="U69" i="1"/>
  <c r="U140" i="1"/>
  <c r="U136" i="1"/>
  <c r="U168" i="1"/>
  <c r="U113" i="1"/>
  <c r="U220" i="1"/>
  <c r="U64" i="1"/>
  <c r="U62" i="1"/>
  <c r="U111" i="1"/>
  <c r="U4" i="1"/>
  <c r="S175" i="1"/>
  <c r="S161" i="1"/>
  <c r="S181" i="1"/>
  <c r="U163" i="1"/>
  <c r="S147" i="1"/>
  <c r="S109" i="1"/>
  <c r="U182" i="1"/>
  <c r="S47" i="1"/>
  <c r="U26" i="1"/>
  <c r="U50" i="1"/>
  <c r="U102" i="1"/>
  <c r="S196" i="1"/>
  <c r="U221" i="1"/>
  <c r="S122" i="1"/>
  <c r="S78" i="1"/>
  <c r="S152" i="1"/>
  <c r="S133" i="1"/>
  <c r="S141" i="1"/>
  <c r="S221" i="1"/>
  <c r="U164" i="1"/>
  <c r="S226" i="1"/>
  <c r="U74" i="1"/>
  <c r="U3" i="1"/>
  <c r="U105" i="1"/>
  <c r="U87" i="1"/>
  <c r="U175" i="1"/>
  <c r="U178" i="1"/>
  <c r="S228" i="1"/>
  <c r="S266" i="1"/>
  <c r="S231" i="1"/>
  <c r="S223" i="1"/>
  <c r="S216" i="1"/>
  <c r="S209" i="1"/>
  <c r="S190" i="1"/>
  <c r="S184" i="1"/>
  <c r="S178" i="1"/>
  <c r="S172" i="1"/>
  <c r="S166" i="1"/>
  <c r="S159" i="1"/>
  <c r="U219" i="1"/>
  <c r="U174" i="1"/>
  <c r="U162" i="1"/>
  <c r="U146" i="1"/>
  <c r="U134" i="1"/>
  <c r="U122" i="1"/>
  <c r="U110" i="1"/>
  <c r="U99" i="1"/>
  <c r="U85" i="1"/>
  <c r="U73" i="1"/>
  <c r="U49" i="1"/>
  <c r="U25" i="1"/>
  <c r="S103" i="1"/>
  <c r="S137" i="1"/>
  <c r="S131" i="1"/>
  <c r="S125" i="1"/>
  <c r="S119" i="1"/>
  <c r="S113" i="1"/>
  <c r="S102" i="1"/>
  <c r="S95" i="1"/>
  <c r="S82" i="1"/>
  <c r="S70" i="1"/>
  <c r="S64" i="1"/>
  <c r="S58" i="1"/>
  <c r="S46" i="1"/>
  <c r="S40" i="1"/>
  <c r="S34" i="1"/>
  <c r="S22" i="1"/>
  <c r="S17" i="1"/>
  <c r="S5" i="1"/>
  <c r="U217" i="1"/>
  <c r="U173" i="1"/>
  <c r="U161" i="1"/>
  <c r="U145" i="1"/>
  <c r="U133" i="1"/>
  <c r="U121" i="1"/>
  <c r="U109" i="1"/>
  <c r="U97" i="1"/>
  <c r="U84" i="1"/>
  <c r="U72" i="1"/>
  <c r="U60" i="1"/>
  <c r="U48" i="1"/>
  <c r="U24" i="1"/>
  <c r="S217" i="1"/>
  <c r="S173" i="1"/>
  <c r="S151" i="1"/>
  <c r="U124" i="1"/>
  <c r="S132" i="1"/>
  <c r="S126" i="1"/>
  <c r="S230" i="1"/>
  <c r="S222" i="1"/>
  <c r="S208" i="1"/>
  <c r="S177" i="1"/>
  <c r="S171" i="1"/>
  <c r="S165" i="1"/>
  <c r="S158" i="1"/>
  <c r="U216" i="1"/>
  <c r="U184" i="1"/>
  <c r="U172" i="1"/>
  <c r="U159" i="1"/>
  <c r="U132" i="1"/>
  <c r="U108" i="1"/>
  <c r="U96" i="1"/>
  <c r="U83" i="1"/>
  <c r="U71" i="1"/>
  <c r="U59" i="1"/>
  <c r="U47" i="1"/>
  <c r="U112" i="1"/>
  <c r="S142" i="1"/>
  <c r="S130" i="1"/>
  <c r="S124" i="1"/>
  <c r="S118" i="1"/>
  <c r="S112" i="1"/>
  <c r="S107" i="1"/>
  <c r="S94" i="1"/>
  <c r="S87" i="1"/>
  <c r="S81" i="1"/>
  <c r="S69" i="1"/>
  <c r="S63" i="1"/>
  <c r="S57" i="1"/>
  <c r="S45" i="1"/>
  <c r="S39" i="1"/>
  <c r="S27" i="1"/>
  <c r="S21" i="1"/>
  <c r="S4" i="1"/>
  <c r="U171" i="1"/>
  <c r="U158" i="1"/>
  <c r="U131" i="1"/>
  <c r="U119" i="1"/>
  <c r="U95" i="1"/>
  <c r="U82" i="1"/>
  <c r="U70" i="1"/>
  <c r="U58" i="1"/>
  <c r="U46" i="1"/>
  <c r="U34" i="1"/>
  <c r="U22" i="1"/>
  <c r="S191" i="1"/>
  <c r="S179" i="1"/>
  <c r="U176" i="1"/>
  <c r="S229" i="1"/>
  <c r="S213" i="1"/>
  <c r="S182" i="1"/>
  <c r="S176" i="1"/>
  <c r="S170" i="1"/>
  <c r="S157" i="1"/>
  <c r="U157" i="1"/>
  <c r="U142" i="1"/>
  <c r="U130" i="1"/>
  <c r="U118" i="1"/>
  <c r="U94" i="1"/>
  <c r="U81" i="1"/>
  <c r="U57" i="1"/>
  <c r="U21" i="1"/>
  <c r="S167" i="1"/>
  <c r="S135" i="1"/>
  <c r="S129" i="1"/>
  <c r="S123" i="1"/>
  <c r="S117" i="1"/>
  <c r="S111" i="1"/>
  <c r="S106" i="1"/>
  <c r="S100" i="1"/>
  <c r="S93" i="1"/>
  <c r="S80" i="1"/>
  <c r="S74" i="1"/>
  <c r="S68" i="1"/>
  <c r="S62" i="1"/>
  <c r="S56" i="1"/>
  <c r="S50" i="1"/>
  <c r="S44" i="1"/>
  <c r="S38" i="1"/>
  <c r="S26" i="1"/>
  <c r="S20" i="1"/>
  <c r="S3" i="1"/>
  <c r="U196" i="1"/>
  <c r="U181" i="1"/>
  <c r="U169" i="1"/>
  <c r="U141" i="1"/>
  <c r="U129" i="1"/>
  <c r="U117" i="1"/>
  <c r="U106" i="1"/>
  <c r="U93" i="1"/>
  <c r="U80" i="1"/>
  <c r="U68" i="1"/>
  <c r="U56" i="1"/>
  <c r="U20" i="1"/>
  <c r="S169" i="1"/>
  <c r="S134" i="1"/>
  <c r="S128" i="1"/>
  <c r="S116" i="1"/>
  <c r="S110" i="1"/>
  <c r="S99" i="1"/>
  <c r="S85" i="1"/>
  <c r="S73" i="1"/>
  <c r="S55" i="1"/>
  <c r="S49" i="1"/>
  <c r="S43" i="1"/>
  <c r="S25" i="1"/>
  <c r="U191" i="1"/>
  <c r="U179" i="1"/>
  <c r="U167" i="1"/>
  <c r="U151" i="1"/>
  <c r="U139" i="1"/>
  <c r="U127" i="1"/>
  <c r="U115" i="1"/>
  <c r="U104" i="1"/>
  <c r="U90" i="1"/>
  <c r="U78" i="1"/>
  <c r="U54" i="1"/>
  <c r="U18" i="1"/>
  <c r="U128" i="1"/>
  <c r="U116" i="1"/>
  <c r="U55" i="1"/>
  <c r="U43" i="1"/>
  <c r="S219" i="1"/>
  <c r="S174" i="1"/>
  <c r="S168" i="1"/>
  <c r="S162" i="1"/>
  <c r="S146" i="1"/>
  <c r="U223" i="1"/>
  <c r="U209" i="1"/>
  <c r="U190" i="1"/>
  <c r="U166" i="1"/>
  <c r="U126" i="1"/>
  <c r="U114" i="1"/>
  <c r="U53" i="1"/>
  <c r="U29" i="1"/>
  <c r="U6" i="1"/>
  <c r="S163" i="1"/>
  <c r="S145" i="1"/>
  <c r="S139" i="1"/>
  <c r="S127" i="1"/>
  <c r="S115" i="1"/>
  <c r="S104" i="1"/>
  <c r="S97" i="1"/>
  <c r="S90" i="1"/>
  <c r="S84" i="1"/>
  <c r="S60" i="1"/>
  <c r="S54" i="1"/>
  <c r="S48" i="1"/>
  <c r="S24" i="1"/>
  <c r="S18" i="1"/>
  <c r="U222" i="1"/>
  <c r="U208" i="1"/>
  <c r="U177" i="1"/>
  <c r="U165" i="1"/>
  <c r="U125" i="1"/>
  <c r="U40" i="1"/>
  <c r="U17" i="1"/>
  <c r="U63" i="1"/>
  <c r="U39" i="1"/>
  <c r="U27" i="1"/>
  <c r="S108" i="1"/>
  <c r="S96" i="1"/>
  <c r="S71" i="1"/>
  <c r="S59" i="1"/>
  <c r="S53" i="1"/>
  <c r="S29" i="1"/>
  <c r="S6" i="1"/>
  <c r="U135" i="1"/>
  <c r="U123" i="1"/>
  <c r="U100" i="1"/>
  <c r="U38" i="1"/>
  <c r="N205" i="1" l="1"/>
  <c r="N378" i="1"/>
  <c r="N376" i="1"/>
  <c r="N225" i="1" l="1"/>
  <c r="K151" i="1" l="1"/>
  <c r="N419" i="1" l="1"/>
  <c r="N371" i="1" l="1"/>
  <c r="N366" i="1" l="1"/>
  <c r="C10" i="1" l="1"/>
  <c r="N6" i="1" l="1"/>
  <c r="N361" i="1"/>
  <c r="N5" i="1"/>
  <c r="K4" i="1" l="1"/>
  <c r="K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Bianco</author>
  </authors>
  <commentList>
    <comment ref="D246" authorId="0" shapeId="0" xr:uid="{2AA34A02-9061-4EE2-8F45-2B981E7348A9}">
      <text>
        <r>
          <rPr>
            <b/>
            <sz val="9"/>
            <color indexed="81"/>
            <rFont val="Tahoma"/>
            <family val="2"/>
          </rPr>
          <t>Nancy Bianco:</t>
        </r>
        <r>
          <rPr>
            <sz val="9"/>
            <color indexed="81"/>
            <rFont val="Tahoma"/>
            <family val="2"/>
          </rPr>
          <t xml:space="preserve">
Ancienne facture 202603005 annulée via Credit Note CN-2604-001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<sst xmlns="http://schemas.openxmlformats.org/spreadsheetml/2006/main" count="3291" uniqueCount="579">
  <si>
    <t>TRADER</t>
  </si>
  <si>
    <t>DUE DATE</t>
  </si>
  <si>
    <t>INVOICE SENT</t>
  </si>
  <si>
    <t>INVOICE NUMBER</t>
  </si>
  <si>
    <t>CUSTOMER</t>
  </si>
  <si>
    <t>VESSEL</t>
  </si>
  <si>
    <t>BANK</t>
  </si>
  <si>
    <t>PAYMENT TERM</t>
  </si>
  <si>
    <t>PORT</t>
  </si>
  <si>
    <t>DELIVERY DATE</t>
  </si>
  <si>
    <t>AMOUNT</t>
  </si>
  <si>
    <t>CURRENCY</t>
  </si>
  <si>
    <t>ESC DONE - RBT</t>
  </si>
  <si>
    <t xml:space="preserve">AMOUNT RECEIVED </t>
  </si>
  <si>
    <t xml:space="preserve">INFORMATION RECEIVED </t>
  </si>
  <si>
    <t>Payment received</t>
  </si>
  <si>
    <t xml:space="preserve">CUSTOMER DELAYS </t>
  </si>
  <si>
    <t>Supplier pmt made</t>
  </si>
  <si>
    <t>AO</t>
  </si>
  <si>
    <t>SG</t>
  </si>
  <si>
    <t>USD</t>
  </si>
  <si>
    <t>ISTANBUL</t>
  </si>
  <si>
    <t>CA</t>
  </si>
  <si>
    <t>TRADER SRL</t>
  </si>
  <si>
    <t>ECO MALTA</t>
  </si>
  <si>
    <t>AMBARLI</t>
  </si>
  <si>
    <t>UNERCO PETROL</t>
  </si>
  <si>
    <t>BULK TRADING</t>
  </si>
  <si>
    <t>SCA LTD</t>
  </si>
  <si>
    <t>ECO MEDITERRANEA</t>
  </si>
  <si>
    <t xml:space="preserve">ELETTRA TLC SPA </t>
  </si>
  <si>
    <t>ANTONIO MEUCCI</t>
  </si>
  <si>
    <t>CE</t>
  </si>
  <si>
    <t>CATANIA</t>
  </si>
  <si>
    <t>EUR</t>
  </si>
  <si>
    <t>EGE SHIPPING</t>
  </si>
  <si>
    <t>MANISA CHARTERING SRL</t>
  </si>
  <si>
    <t>GENOVA</t>
  </si>
  <si>
    <t xml:space="preserve">SOMAT SPA </t>
  </si>
  <si>
    <t>SEA DREAM</t>
  </si>
  <si>
    <t>ELEFSINA</t>
  </si>
  <si>
    <t>YALOVA</t>
  </si>
  <si>
    <t>RAVENNA</t>
  </si>
  <si>
    <t>FUJAIRAH</t>
  </si>
  <si>
    <t>RS</t>
  </si>
  <si>
    <t>FS STYX</t>
  </si>
  <si>
    <t>FALMOUTH</t>
  </si>
  <si>
    <t>MANISA KATE</t>
  </si>
  <si>
    <t>SINGAPORE</t>
  </si>
  <si>
    <t>ECO SALERNO</t>
  </si>
  <si>
    <t>GIBRALTAR</t>
  </si>
  <si>
    <t>SOFIA</t>
  </si>
  <si>
    <t>JEBEL ALI</t>
  </si>
  <si>
    <t>DUQM</t>
  </si>
  <si>
    <t>SM/EBB</t>
  </si>
  <si>
    <t>EBB</t>
  </si>
  <si>
    <t>URSA MINOR</t>
  </si>
  <si>
    <t>URSA MAJOR</t>
  </si>
  <si>
    <t>MP</t>
  </si>
  <si>
    <t>EUROCARGO ROMA</t>
  </si>
  <si>
    <t>GEMPORT</t>
  </si>
  <si>
    <t>NOROK SHIPPING DMCC</t>
  </si>
  <si>
    <t>SEAPOL SHIPPING</t>
  </si>
  <si>
    <t>SPRING MARINE</t>
  </si>
  <si>
    <t>JABRAYIL DOVLATZADEH</t>
  </si>
  <si>
    <t>BNP</t>
  </si>
  <si>
    <t>PASIR GUDANG</t>
  </si>
  <si>
    <t>PALMALI SHIPPING</t>
  </si>
  <si>
    <t>ALI NAJAFOV</t>
  </si>
  <si>
    <t>MARTRANS SHIPPING</t>
  </si>
  <si>
    <t>SEA CONSORTIUM</t>
  </si>
  <si>
    <t>GAS AURORA</t>
  </si>
  <si>
    <t>ADI SERVIZI MARITTIMI</t>
  </si>
  <si>
    <t>TEAM BULK CARRIERS</t>
  </si>
  <si>
    <t>S J BOSS</t>
  </si>
  <si>
    <t>META MARINE SERVICES</t>
  </si>
  <si>
    <t>VARAMAR SHIPPING</t>
  </si>
  <si>
    <t>HILF SHIPPING</t>
  </si>
  <si>
    <t>00</t>
  </si>
  <si>
    <t>GRANDE TOGO</t>
  </si>
  <si>
    <t>OZATA</t>
  </si>
  <si>
    <t>EUROCARGO ALEXANDRIA</t>
  </si>
  <si>
    <t>AMIS KALON</t>
  </si>
  <si>
    <t xml:space="preserve">ALGOA BAY </t>
  </si>
  <si>
    <t>MILITARY TRANSACTIONS</t>
  </si>
  <si>
    <t>MA</t>
  </si>
  <si>
    <t>THE HAWKS DMCC</t>
  </si>
  <si>
    <t>EDELSTEIN</t>
  </si>
  <si>
    <t>LUANDA</t>
  </si>
  <si>
    <t>URANUS III</t>
  </si>
  <si>
    <t>SINES</t>
  </si>
  <si>
    <t>GEOSERVE ENERGY</t>
  </si>
  <si>
    <t>CAMINERO</t>
  </si>
  <si>
    <t>CONSTANTZA</t>
  </si>
  <si>
    <t>NORSE EXPANSION</t>
  </si>
  <si>
    <t>NOMAR</t>
  </si>
  <si>
    <t>DEMA M</t>
  </si>
  <si>
    <t>PORT KELANG</t>
  </si>
  <si>
    <t>OCEAN SUMMIT</t>
  </si>
  <si>
    <t>N/A</t>
  </si>
  <si>
    <t>KZ</t>
  </si>
  <si>
    <t>JEDDAH</t>
  </si>
  <si>
    <t>KS PROJECT</t>
  </si>
  <si>
    <t>CONSTANTA</t>
  </si>
  <si>
    <t>TARRAGONA</t>
  </si>
  <si>
    <t>TMC SHIPPING MIDDLE EAST</t>
  </si>
  <si>
    <t>SEVEN SHIPPING</t>
  </si>
  <si>
    <t>AN SHUN</t>
  </si>
  <si>
    <t>SIAN</t>
  </si>
  <si>
    <t>KHOR FAKKAN</t>
  </si>
  <si>
    <t>ATA 1</t>
  </si>
  <si>
    <t>RICHSING LOTUS</t>
  </si>
  <si>
    <t>RINGHIO</t>
  </si>
  <si>
    <t>DAKAR</t>
  </si>
  <si>
    <t>SANTANGELO</t>
  </si>
  <si>
    <t>ECO LIVORNO</t>
  </si>
  <si>
    <t>tbp 05/02</t>
  </si>
  <si>
    <t>URANUS II</t>
  </si>
  <si>
    <t>MANISA AMELIA</t>
  </si>
  <si>
    <t>EUROPA PALACE</t>
  </si>
  <si>
    <t>ECO BARCELONA</t>
  </si>
  <si>
    <t>TAI SENTRY</t>
  </si>
  <si>
    <t>FANGCHENG</t>
  </si>
  <si>
    <t>MOVERS DENIZCILIK TICARET</t>
  </si>
  <si>
    <t>AL UDEID</t>
  </si>
  <si>
    <t>ILENAO</t>
  </si>
  <si>
    <t>BALUCO</t>
  </si>
  <si>
    <t>G-STOP</t>
  </si>
  <si>
    <t>PORTO ERCOLE</t>
  </si>
  <si>
    <t>RIBEX MARITIME</t>
  </si>
  <si>
    <t>PEACE</t>
  </si>
  <si>
    <t>BP ESC</t>
  </si>
  <si>
    <t>AUTOPORT</t>
  </si>
  <si>
    <t>USCGC EMLEN TUNNEL</t>
  </si>
  <si>
    <t xml:space="preserve">USCGC ROBERT GOLDMAN </t>
  </si>
  <si>
    <t>GME SEA TRANSPORT SERVICES</t>
  </si>
  <si>
    <t>AMARYA</t>
  </si>
  <si>
    <t>COD</t>
  </si>
  <si>
    <t>MANISA CAMILLA</t>
  </si>
  <si>
    <t>LEIXOES</t>
  </si>
  <si>
    <t>MANISA SOLE</t>
  </si>
  <si>
    <t>AVEIRO</t>
  </si>
  <si>
    <t>MONFALCONE</t>
  </si>
  <si>
    <t>FLYTE LOGISTICS</t>
  </si>
  <si>
    <t>YANGON</t>
  </si>
  <si>
    <t>AMSTERDAM</t>
  </si>
  <si>
    <t>GRANDE ARGENTINA</t>
  </si>
  <si>
    <t>CETI</t>
  </si>
  <si>
    <t>TARANTO</t>
  </si>
  <si>
    <t>VEGA</t>
  </si>
  <si>
    <t>TAURI</t>
  </si>
  <si>
    <t>ZHONG GU TIAN JIN</t>
  </si>
  <si>
    <t>OCEAN AZURE</t>
  </si>
  <si>
    <t>SANTOS</t>
  </si>
  <si>
    <t>OLYMPIC SPIRIT</t>
  </si>
  <si>
    <t>INFINITY AQUILA</t>
  </si>
  <si>
    <t>ESRA NUR</t>
  </si>
  <si>
    <t>COSTANTA</t>
  </si>
  <si>
    <t>HMCS YELLOWKNIFE</t>
  </si>
  <si>
    <t>MIAMI</t>
  </si>
  <si>
    <t>PERLITA</t>
  </si>
  <si>
    <t>NACALA</t>
  </si>
  <si>
    <t>HMS AL DIRIYA</t>
  </si>
  <si>
    <t>MUSCAT</t>
  </si>
  <si>
    <t>MECK PETROLEUM</t>
  </si>
  <si>
    <t>UMS ALBEDO</t>
  </si>
  <si>
    <t>MARINA DI CARRARA</t>
  </si>
  <si>
    <t>SOCAR SHIPPING</t>
  </si>
  <si>
    <t>PLANEO</t>
  </si>
  <si>
    <t>PORT SAID</t>
  </si>
  <si>
    <t>HERMANA</t>
  </si>
  <si>
    <t>CASTELLON</t>
  </si>
  <si>
    <t>LISBON</t>
  </si>
  <si>
    <t>SUNFLYTE</t>
  </si>
  <si>
    <t>SUPPLIER DOCS RECEIVED ON 2/3/26</t>
  </si>
  <si>
    <t>SIRIO</t>
  </si>
  <si>
    <t xml:space="preserve">IGNAZIO MESSINA &amp; C. SPA </t>
  </si>
  <si>
    <t>PACIFIC DALIAN</t>
  </si>
  <si>
    <t>AUGUSTA</t>
  </si>
  <si>
    <t>HMS ONAIZAH</t>
  </si>
  <si>
    <t>MANISA SILVANA</t>
  </si>
  <si>
    <t>CYGNI</t>
  </si>
  <si>
    <t>AFRI BULK NAVIGATION</t>
  </si>
  <si>
    <t>ARTEMIS E</t>
  </si>
  <si>
    <t>ABIDJAN</t>
  </si>
  <si>
    <t>CHAMPION TANKERS</t>
  </si>
  <si>
    <t>JOHNNY RANGER</t>
  </si>
  <si>
    <t>PARANAGUA</t>
  </si>
  <si>
    <t>KYRA THALEIA</t>
  </si>
  <si>
    <t>KANDLA TUNA BERTH</t>
  </si>
  <si>
    <t>DANICA</t>
  </si>
  <si>
    <t>PRYSMIAN POWERLINK</t>
  </si>
  <si>
    <t>PRYSMIAN CABLE ENTERPRISE</t>
  </si>
  <si>
    <t>ALGECIRAS</t>
  </si>
  <si>
    <t>DARIA</t>
  </si>
  <si>
    <t>ADANI SHIPPING</t>
  </si>
  <si>
    <t>ETRON</t>
  </si>
  <si>
    <t>TREFOIL TRADING</t>
  </si>
  <si>
    <t>ELIM JOYCE</t>
  </si>
  <si>
    <t>SALERNO</t>
  </si>
  <si>
    <t>CHANG SHUN QIAN CHENG</t>
  </si>
  <si>
    <t>Final invoice sent on 6 Feb - PAID 12/02</t>
  </si>
  <si>
    <t>MV XANADU</t>
  </si>
  <si>
    <t>MONTEGO BAY</t>
  </si>
  <si>
    <t>TRIO DENIZCILIK</t>
  </si>
  <si>
    <t>MAGPIE</t>
  </si>
  <si>
    <t>TBP 13/02</t>
  </si>
  <si>
    <t xml:space="preserve">INTEREST INVOICE </t>
  </si>
  <si>
    <t>CIA</t>
  </si>
  <si>
    <t>GEMMA</t>
  </si>
  <si>
    <t xml:space="preserve">BESIKTAS </t>
  </si>
  <si>
    <t>NORTHSTAR ENERGY</t>
  </si>
  <si>
    <t>DALIAN</t>
  </si>
  <si>
    <t>SEMA M</t>
  </si>
  <si>
    <t>AURORA MARINE FUELS</t>
  </si>
  <si>
    <t>AST RISING</t>
  </si>
  <si>
    <t>JOLLY BIANCO</t>
  </si>
  <si>
    <t>BARCELONA</t>
  </si>
  <si>
    <t>ORAN</t>
  </si>
  <si>
    <t>ZHE HAI 529</t>
  </si>
  <si>
    <t>parzial payment 12/02 for 51 272,63 eur + BALANCE 17/02 FOR 50 171,55</t>
  </si>
  <si>
    <t>TBP 27/02 LATEST</t>
  </si>
  <si>
    <t>TBP 23/02</t>
  </si>
  <si>
    <t>GAS PARROT</t>
  </si>
  <si>
    <t>MAKASSAR</t>
  </si>
  <si>
    <t>BUNKER PARTNER DMCC</t>
  </si>
  <si>
    <t>VMAS SUZHOU</t>
  </si>
  <si>
    <t>SALVADOR</t>
  </si>
  <si>
    <t>SETE</t>
  </si>
  <si>
    <t>SHUI YUN</t>
  </si>
  <si>
    <t>DENSA TIGER</t>
  </si>
  <si>
    <t>MERNA SHIPPING</t>
  </si>
  <si>
    <t>MERNA 1</t>
  </si>
  <si>
    <t>ALICANTE</t>
  </si>
  <si>
    <t>HMS JAZAN</t>
  </si>
  <si>
    <t>SALALAH</t>
  </si>
  <si>
    <t>MEDMAR MARTINA</t>
  </si>
  <si>
    <t>KANALVEJ</t>
  </si>
  <si>
    <t>PRIME STAR</t>
  </si>
  <si>
    <t>GARRUCHA</t>
  </si>
  <si>
    <t>OES SAM</t>
  </si>
  <si>
    <t>HMCS CHARLOTTETOWN</t>
  </si>
  <si>
    <t>AMADOR CRUISE</t>
  </si>
  <si>
    <t>FECO</t>
  </si>
  <si>
    <t>OFFSET</t>
  </si>
  <si>
    <t>CEUTA</t>
  </si>
  <si>
    <t>NEW ORLEANS</t>
  </si>
  <si>
    <t>ARGO NAVIGATION</t>
  </si>
  <si>
    <t>CS JENNA</t>
  </si>
  <si>
    <t>LIMASSOL</t>
  </si>
  <si>
    <t>HH</t>
  </si>
  <si>
    <t>GREEN EMIRATES SHIPPING</t>
  </si>
  <si>
    <t>DUBAI FORTUNE</t>
  </si>
  <si>
    <t>TBP 27/02 NOW TBP 20/03</t>
  </si>
  <si>
    <t>TBP 20/03</t>
  </si>
  <si>
    <t>INVOICE SENT AFTER DUE DATE</t>
  </si>
  <si>
    <t>KINYRAS</t>
  </si>
  <si>
    <t>USCGC GLEN HARRIS</t>
  </si>
  <si>
    <t>KSL RUIYANG</t>
  </si>
  <si>
    <t>GLOBAL HORIZON SHIPPING</t>
  </si>
  <si>
    <t>PACIFIC SPIRIT</t>
  </si>
  <si>
    <t>USS BULKELEY</t>
  </si>
  <si>
    <t>SALEM AL MAKRANI CARGO</t>
  </si>
  <si>
    <t>PEACELAND</t>
  </si>
  <si>
    <t>HAMRIYA PORT</t>
  </si>
  <si>
    <t>LENNEBORG</t>
  </si>
  <si>
    <t>HAO FENG HAI</t>
  </si>
  <si>
    <t>DA YANG BAI HE</t>
  </si>
  <si>
    <t>MK</t>
  </si>
  <si>
    <t>LAURITZEN BULZERS</t>
  </si>
  <si>
    <t>ANGELS SPIRIT</t>
  </si>
  <si>
    <t>E.N.B.L. ENERGY NET</t>
  </si>
  <si>
    <t>COZUMEL</t>
  </si>
  <si>
    <t>H ORCA</t>
  </si>
  <si>
    <t>EL ARISH</t>
  </si>
  <si>
    <t>LIEPAJA</t>
  </si>
  <si>
    <t>ERSOZ WEST</t>
  </si>
  <si>
    <t>CORGEA SHIPPING</t>
  </si>
  <si>
    <t>ALONDRA</t>
  </si>
  <si>
    <t>LAS PALMAS</t>
  </si>
  <si>
    <t>ANNIKA N</t>
  </si>
  <si>
    <t>NADOR</t>
  </si>
  <si>
    <t>INCLUDED CN-2602-001</t>
  </si>
  <si>
    <t>THOR MADOC</t>
  </si>
  <si>
    <t>ATALANDI</t>
  </si>
  <si>
    <t>AUCKLAND</t>
  </si>
  <si>
    <t>GRANDE GABON</t>
  </si>
  <si>
    <t>HMCS EDMONTON</t>
  </si>
  <si>
    <t>NEW YORK</t>
  </si>
  <si>
    <t>HMCS MONCTON</t>
  </si>
  <si>
    <t>LIBERTY EXPLORER</t>
  </si>
  <si>
    <t>KARACHI</t>
  </si>
  <si>
    <t>PACIFIC EXPLORER</t>
  </si>
  <si>
    <t>SDS RED</t>
  </si>
  <si>
    <t>TP</t>
  </si>
  <si>
    <t>CCGS NAALAK NAPPAALUK</t>
  </si>
  <si>
    <t>BALBOA ANCHORAGE</t>
  </si>
  <si>
    <t>SPARK TIDE</t>
  </si>
  <si>
    <t>GAC BUNKER FUELS</t>
  </si>
  <si>
    <t>SOYO ANCHORAGE</t>
  </si>
  <si>
    <t>TBP 03/04 THE LATEST</t>
  </si>
  <si>
    <t xml:space="preserve">AMENDED INVOICE </t>
  </si>
  <si>
    <t>MARGHERA</t>
  </si>
  <si>
    <t>SEACOR MURRAY</t>
  </si>
  <si>
    <t>TBP 24/03</t>
  </si>
  <si>
    <t>TBP 01/04</t>
  </si>
  <si>
    <t>FOS</t>
  </si>
  <si>
    <t>TENES</t>
  </si>
  <si>
    <t>QD SUMMER</t>
  </si>
  <si>
    <t>LIVORNO</t>
  </si>
  <si>
    <t xml:space="preserve">ENVIROS SURVEY </t>
  </si>
  <si>
    <t>GENESIS</t>
  </si>
  <si>
    <t>CROTONE</t>
  </si>
  <si>
    <t>21 500 USD RECEIVED 18/03 + 23 568 USD RECEIVED 26/03</t>
  </si>
  <si>
    <t xml:space="preserve">PAID 14K 25/03 </t>
  </si>
  <si>
    <t>MV RHODANUS</t>
  </si>
  <si>
    <t>ALIAGA</t>
  </si>
  <si>
    <t>Cancellation invoice received too late; not possible now to charge cancellation to customer</t>
  </si>
  <si>
    <t>AL HURREYA 2</t>
  </si>
  <si>
    <t>BLACK BULL LOGISTICS</t>
  </si>
  <si>
    <t>USS MAHAN</t>
  </si>
  <si>
    <t>SWAN HELLENIC</t>
  </si>
  <si>
    <t>LAUTOKA</t>
  </si>
  <si>
    <t>MINERVA</t>
  </si>
  <si>
    <t>MURUETA ATLANTICO</t>
  </si>
  <si>
    <t>AUCANADA TMA</t>
  </si>
  <si>
    <t>NAPOLI</t>
  </si>
  <si>
    <t>CORAL GEM</t>
  </si>
  <si>
    <t>RICHARDS BAY</t>
  </si>
  <si>
    <t>KOCHAB</t>
  </si>
  <si>
    <t>X-PRESS KABRU</t>
  </si>
  <si>
    <t>ERASMUS BULK TRADING</t>
  </si>
  <si>
    <t>ASC GLORY</t>
  </si>
  <si>
    <t>F105 CRISTOBAL COLON</t>
  </si>
  <si>
    <t>LARNACA</t>
  </si>
  <si>
    <t>JOLLY ORO</t>
  </si>
  <si>
    <t>DURBAN</t>
  </si>
  <si>
    <t>PAID 16 639,67</t>
  </si>
  <si>
    <t>WEDNESDAY 15,04</t>
  </si>
  <si>
    <t>ALMIRANTE VIEL</t>
  </si>
  <si>
    <t>PUNTA ARENAS</t>
  </si>
  <si>
    <t>CHALKIS</t>
  </si>
  <si>
    <t>ELIJAH</t>
  </si>
  <si>
    <t>AUSONE</t>
  </si>
  <si>
    <t>COLOMBO</t>
  </si>
  <si>
    <t>MANISA BALU</t>
  </si>
  <si>
    <t>NAVI BUNKER PTE</t>
  </si>
  <si>
    <t>HOANG ANH 09</t>
  </si>
  <si>
    <t>PORT VICTORIA</t>
  </si>
  <si>
    <t>PLATTS SUPPLEMENTARY INVOICE</t>
  </si>
  <si>
    <t>X-PRESS KOHIMA</t>
  </si>
  <si>
    <t>PMT CUSTOMER: Average</t>
  </si>
  <si>
    <t>PMT CUSTOMER: Median</t>
  </si>
  <si>
    <t>PMT CUSTOMER: Projection</t>
  </si>
  <si>
    <t>USS TRUXTON</t>
  </si>
  <si>
    <t>WALVIS BAY</t>
  </si>
  <si>
    <t>A rembourser à Black bull : 65 996e</t>
  </si>
  <si>
    <t>HMCS VILLE DE QUEBEC</t>
  </si>
  <si>
    <t>HAMILTON</t>
  </si>
  <si>
    <t>PACIFIC PRIDE</t>
  </si>
  <si>
    <t>KRISTINA</t>
  </si>
  <si>
    <t>URBANO MONTI</t>
  </si>
  <si>
    <t>SEVEN AMARANTA</t>
  </si>
  <si>
    <t>PONTA DELGADA</t>
  </si>
  <si>
    <t>USNS MARIE THARP</t>
  </si>
  <si>
    <t>USS FITZGERALD</t>
  </si>
  <si>
    <t>WEEK 18</t>
  </si>
  <si>
    <t>MANISA SOFIA</t>
  </si>
  <si>
    <t>CASABLANCA</t>
  </si>
  <si>
    <t>PROPELLER FUELS ASIA</t>
  </si>
  <si>
    <t>ZHONG GU 9</t>
  </si>
  <si>
    <t>SEKAVIN</t>
  </si>
  <si>
    <t>MAC LONDON</t>
  </si>
  <si>
    <t>ZHONG GU HUANG HAI</t>
  </si>
  <si>
    <t>SETUBAL</t>
  </si>
  <si>
    <t>OK Déduit d'une facture Geoserve</t>
  </si>
  <si>
    <t>HESPERIDES</t>
  </si>
  <si>
    <t>RECIFE</t>
  </si>
  <si>
    <t>BS</t>
  </si>
  <si>
    <t xml:space="preserve">UNITED OVERSEAS TRADING </t>
  </si>
  <si>
    <t>KEN ANN</t>
  </si>
  <si>
    <t>SAN FRANCISCO</t>
  </si>
  <si>
    <t>ZOGRAFIA</t>
  </si>
  <si>
    <t>ENNORE</t>
  </si>
  <si>
    <t>INT.L MARITIME &amp; AIRSERVICES</t>
  </si>
  <si>
    <t>INS SUDARSHINI</t>
  </si>
  <si>
    <t>Solde semaine 20</t>
  </si>
  <si>
    <t>Solde reçu le 27/04. Première partie le 21/04</t>
  </si>
  <si>
    <t>GAS HELENA</t>
  </si>
  <si>
    <t>DORTYOL</t>
  </si>
  <si>
    <t>Passée en perte</t>
  </si>
  <si>
    <t>"Final primary invoice – they are expected to send us proposal for settlement on this within this week. Have copied you into an email chain with them this morning for your reference."</t>
  </si>
  <si>
    <t>Due date was 24th April. However, we only sent the customer the invoice from our side yesterday I assume because the supplier sent the documents to us late. So we will have to give a few extra days flexibility as delayed payment is not due to customer delaying.</t>
  </si>
  <si>
    <t>AMOUNT RECEIVED</t>
  </si>
  <si>
    <t>RUI FU SHENG</t>
  </si>
  <si>
    <t>OBE LOTUS</t>
  </si>
  <si>
    <t>KAKINADA</t>
  </si>
  <si>
    <t>MANISA GRETA</t>
  </si>
  <si>
    <t>CARTAGENA</t>
  </si>
  <si>
    <t>JOLLY GIADA</t>
  </si>
  <si>
    <t>SEA EXPRESS SHIPPING</t>
  </si>
  <si>
    <t>HUI FENG HAI</t>
  </si>
  <si>
    <t>PONTICA</t>
  </si>
  <si>
    <t>BILBAO</t>
  </si>
  <si>
    <t>EVANGELOS</t>
  </si>
  <si>
    <t>GANDIA</t>
  </si>
  <si>
    <t>Acompte versé le 26/04</t>
  </si>
  <si>
    <t>KINGSTON</t>
  </si>
  <si>
    <t>CAPE KNOX</t>
  </si>
  <si>
    <t>VALLETTA</t>
  </si>
  <si>
    <t>LAURITZEN BULKERS</t>
  </si>
  <si>
    <t>INFINITY K</t>
  </si>
  <si>
    <t>MALTA</t>
  </si>
  <si>
    <t>CONTICARWIL</t>
  </si>
  <si>
    <t>POZONI</t>
  </si>
  <si>
    <t>AL NASR</t>
  </si>
  <si>
    <t>USS MITSCHER</t>
  </si>
  <si>
    <t>MOMBASA</t>
  </si>
  <si>
    <t>TRINCOMALEE</t>
  </si>
  <si>
    <t>PAKISTAN NATIONAL SHIPPING</t>
  </si>
  <si>
    <t>QUETTA</t>
  </si>
  <si>
    <t>EMISSION AVOIR PARTIEL LE 15/05/2026</t>
  </si>
  <si>
    <t>EMISSION AVOIR + NLLE FACTURE LE 15/05/2026</t>
  </si>
  <si>
    <t>GAS VALERIE</t>
  </si>
  <si>
    <t>NA</t>
  </si>
  <si>
    <t>CN-2604-003</t>
  </si>
  <si>
    <t>MINDELO</t>
  </si>
  <si>
    <t>MP : "as discussed visiting today." (20.05)</t>
  </si>
  <si>
    <t>MP : "50% was paid on Monday – funds confirmed as received. Balance to be settled by end of month." (20.05)</t>
  </si>
  <si>
    <t>MP : "another $10,000.00 to be paid this week with balance settled in full by end of May. Interest charges applicable once settled." (20.05)</t>
  </si>
  <si>
    <t>MP : "Cancellation charges – being settled next week by client." (20.05)</t>
  </si>
  <si>
    <t>MP : "They overlooked the invoice – I spoke with them yesterday and they are processing the invoice – should have swift within today."</t>
  </si>
  <si>
    <t>MP : "sent you swift yesterday (attached again for reference) please confirm receipt of funds." (20.05)</t>
  </si>
  <si>
    <t>ILIA</t>
  </si>
  <si>
    <t>MANISA MATILDE</t>
  </si>
  <si>
    <t>HOANG ANH 10</t>
  </si>
  <si>
    <t>NAVI BUNKER / EVER FORWARD</t>
  </si>
  <si>
    <t>AVOIR SUR FACTURE 202604029. VOIR AVEC MICHAEL</t>
  </si>
  <si>
    <t>CASPER CHARTERING LIMITED</t>
  </si>
  <si>
    <t>ELENA L.</t>
  </si>
  <si>
    <t>JIAYAO</t>
  </si>
  <si>
    <t>CALA AZZURRA</t>
  </si>
  <si>
    <t>BRAILA</t>
  </si>
  <si>
    <t>ROTTERDAM</t>
  </si>
  <si>
    <t>JAG RAJIV</t>
  </si>
  <si>
    <t>HMS TRENT</t>
  </si>
  <si>
    <t>HNLMS FRIESLAND</t>
  </si>
  <si>
    <t>TEMA</t>
  </si>
  <si>
    <t>EDUARDO MORACE</t>
  </si>
  <si>
    <t xml:space="preserve">CEYLON PRINCESS </t>
  </si>
  <si>
    <t>HAZIRA</t>
  </si>
  <si>
    <t>LA CORUNA</t>
  </si>
  <si>
    <t xml:space="preserve">KZ, 08/06 : They will discuss internally as trader believed it is paid already as I was pushed him end of May. Will try to get a date that they full amount will be received and come back to you on this one. </t>
  </si>
  <si>
    <t>ARAGUARI</t>
  </si>
  <si>
    <t>LAGOS</t>
  </si>
  <si>
    <t>INTEREST INVOICE</t>
  </si>
  <si>
    <t>GRANDE SIERRA LEONE</t>
  </si>
  <si>
    <t xml:space="preserve">MERNA SHIPPING </t>
  </si>
  <si>
    <t>MERNA 2</t>
  </si>
  <si>
    <t>CHIOGGIA</t>
  </si>
  <si>
    <t>SCA DOO</t>
  </si>
  <si>
    <t>REMPLACE LA 202606011</t>
  </si>
  <si>
    <t>AMO 2</t>
  </si>
  <si>
    <t>SEA SUN SHIPPING LIMITED</t>
  </si>
  <si>
    <t>BO SHI 58</t>
  </si>
  <si>
    <t>CCGS SIR WILFRID LAURIER</t>
  </si>
  <si>
    <t>TOKYO</t>
  </si>
  <si>
    <t>NRP SAGRES</t>
  </si>
  <si>
    <t>CMA CGM SA</t>
  </si>
  <si>
    <t>AFRICA SUN</t>
  </si>
  <si>
    <t>REMPLACE LA 202506004 ANNULEE PAR CN-2606-002</t>
  </si>
  <si>
    <t>AVATR</t>
  </si>
  <si>
    <t>SOHAR</t>
  </si>
  <si>
    <t>HMCS WILLIAM HALL</t>
  </si>
  <si>
    <t>ROYAL NAVY DOCKYARD</t>
  </si>
  <si>
    <t>MANISA AURORA</t>
  </si>
  <si>
    <t>GRANDE AFRICA</t>
  </si>
  <si>
    <t>Reminder sent</t>
  </si>
  <si>
    <t>PAUL</t>
  </si>
  <si>
    <t>GEOSTAR</t>
  </si>
  <si>
    <t>CHENNAI</t>
  </si>
  <si>
    <t>MUMBAI</t>
  </si>
  <si>
    <t>ESMERALDA</t>
  </si>
  <si>
    <t>NORFOLK</t>
  </si>
  <si>
    <t>TAMPA</t>
  </si>
  <si>
    <t>AMELAND</t>
  </si>
  <si>
    <t>AMERIGO VESPUCCI</t>
  </si>
  <si>
    <t>BALTIMORE</t>
  </si>
  <si>
    <t>HNLMS GRONINGEN</t>
  </si>
  <si>
    <t>EUROCARGO BARI</t>
  </si>
  <si>
    <t>BORUSAN</t>
  </si>
  <si>
    <t>ECOBULK SHIPPING</t>
  </si>
  <si>
    <t>CDRY BROWN</t>
  </si>
  <si>
    <t>OCEAN7 CHARTERING APS</t>
  </si>
  <si>
    <t>SLOMAN DISPATCHER</t>
  </si>
  <si>
    <t>BLUE LAKE STAR</t>
  </si>
  <si>
    <t>KAWA SHIPPING</t>
  </si>
  <si>
    <t>KAWA HENGSHENG</t>
  </si>
  <si>
    <t>SUEZ</t>
  </si>
  <si>
    <t>JALDHI OVERSEAS</t>
  </si>
  <si>
    <t>MINOAN SEA</t>
  </si>
  <si>
    <t>HAKODATE</t>
  </si>
  <si>
    <t>ANCONA</t>
  </si>
  <si>
    <t>Payé en trois fois 72+40+solde</t>
  </si>
  <si>
    <t>OCEAN7 SHIPPING APS</t>
  </si>
  <si>
    <t>O7 ALSACE</t>
  </si>
  <si>
    <t>PELLEGRON</t>
  </si>
  <si>
    <t>WORLD FUEL SERVICES TRADING</t>
  </si>
  <si>
    <t>Premières tranches payées le 19/06/2026, 23/06, le 02/07, le 13/07</t>
  </si>
  <si>
    <t>BARBAROSSA EXPRESS</t>
  </si>
  <si>
    <t>TJ ZARAR</t>
  </si>
  <si>
    <t>NHAVA SHEVA</t>
  </si>
  <si>
    <t>CIA PAYE LE 07/07/2026</t>
  </si>
  <si>
    <t>VALENCIA</t>
  </si>
  <si>
    <t>MANISA BIANCANEVE</t>
  </si>
  <si>
    <t>Escompte sur une facture dans la facture 68k</t>
  </si>
  <si>
    <t>Virement reçu de 100k le 17/07</t>
  </si>
  <si>
    <t>ST NICHOLAS</t>
  </si>
  <si>
    <t>BARI</t>
  </si>
  <si>
    <t>USS COOPERSTOWN</t>
  </si>
  <si>
    <t>NASSAU</t>
  </si>
  <si>
    <t>YI HUI REN HAI</t>
  </si>
  <si>
    <t>POINTE NOIRE</t>
  </si>
  <si>
    <t>SEA ATIL</t>
  </si>
  <si>
    <t>APL SAIPAN</t>
  </si>
  <si>
    <t>TITAN</t>
  </si>
  <si>
    <t>CAPITAN MIRANDA</t>
  </si>
  <si>
    <t>BOSTON</t>
  </si>
  <si>
    <t>VICTORIA</t>
  </si>
  <si>
    <t>USANEE NAREE</t>
  </si>
  <si>
    <t>PBT INTERNATIONAL</t>
  </si>
  <si>
    <t>SAVANNA WIND</t>
  </si>
  <si>
    <t xml:space="preserve">DYNACOM TANKERS </t>
  </si>
  <si>
    <t>LESVOS</t>
  </si>
  <si>
    <t>NEW BEDFORD</t>
  </si>
  <si>
    <t>MANISA ARIEL</t>
  </si>
  <si>
    <t>J PIONEER</t>
  </si>
  <si>
    <t>RIVIERA MARINE FUELS FZCO</t>
  </si>
  <si>
    <t>AL SAID</t>
  </si>
  <si>
    <t>NICE</t>
  </si>
  <si>
    <t>ACSM SHIPPING</t>
  </si>
  <si>
    <t>ARTABRO</t>
  </si>
  <si>
    <t>VIANA DO CASTELO</t>
  </si>
  <si>
    <t>HONG DA XIN 68</t>
  </si>
  <si>
    <t>Virement reçu de 100k le 08/07 et 50k le 29/07</t>
  </si>
  <si>
    <t>BMI EAGLE</t>
  </si>
  <si>
    <t>CARBONERAS</t>
  </si>
  <si>
    <t>ELFRIEDE</t>
  </si>
  <si>
    <t>HUELVA</t>
  </si>
  <si>
    <t>PORTLAND UK</t>
  </si>
  <si>
    <t>TOULON</t>
  </si>
  <si>
    <t>HMCS ORCAS</t>
  </si>
  <si>
    <t>SITKA</t>
  </si>
  <si>
    <t>CCGS LOUIS S. ST-LAURENT</t>
  </si>
  <si>
    <t xml:space="preserve">TROMSØ </t>
  </si>
  <si>
    <t>LNS JOTVINGIS</t>
  </si>
  <si>
    <t>USS ROOSEVELT</t>
  </si>
  <si>
    <t>NEW SEA GENERATION</t>
  </si>
  <si>
    <t>CL NOGARO</t>
  </si>
  <si>
    <t>THESSALONIKI</t>
  </si>
  <si>
    <t>HARTURA</t>
  </si>
  <si>
    <t>LYSANDRA</t>
  </si>
  <si>
    <t>IZMIT</t>
  </si>
  <si>
    <t>ZOLA</t>
  </si>
  <si>
    <t>PORT KLANG</t>
  </si>
  <si>
    <t>CDRY WHITE</t>
  </si>
  <si>
    <t>PORT LA NOUVELLE</t>
  </si>
  <si>
    <t>SC PHOENIX</t>
  </si>
  <si>
    <t>PATSA</t>
  </si>
  <si>
    <t>USNS DAHL</t>
  </si>
  <si>
    <t>BAYONNE</t>
  </si>
  <si>
    <t>CLASSIC MARITIME INC</t>
  </si>
  <si>
    <t>CLASSIC TSINGTAO</t>
  </si>
  <si>
    <t>IZMIR</t>
  </si>
  <si>
    <t>LILA MUMBAI</t>
  </si>
  <si>
    <t>CIGNY</t>
  </si>
  <si>
    <t>MYD HANGZHOU</t>
  </si>
  <si>
    <t>SHARJAH</t>
  </si>
  <si>
    <t>Acompte versé le 24/08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</si>
</sst>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8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indexed="53"/>
      <name val="Arial"/>
      <family val="2"/>
    </font>
    <font>
      <b/>
      <sz val="8"/>
      <color indexed="53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8"/>
      <color rgb="FF002060"/>
      <name val="Arial"/>
      <family val="2"/>
    </font>
    <font>
      <sz val="8"/>
      <color rgb="FF7030A0"/>
      <name val="Arial"/>
      <family val="2"/>
    </font>
    <font>
      <sz val="8"/>
      <color rgb="FF00B0F0"/>
      <name val="Arial"/>
      <family val="2"/>
    </font>
    <font>
      <sz val="11"/>
      <name val="Aptos Narrow"/>
      <family val="2"/>
      <scheme val="minor"/>
    </font>
    <font>
      <sz val="11"/>
      <color indexed="8"/>
      <name val="Calibri"/>
      <family val="2"/>
    </font>
    <font>
      <b/>
      <sz val="18"/>
      <color rgb="FFFF0000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859614856410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88">
    <xf numFmtId="0" fontId="0" fillId="0" borderId="0" xfId="0"/>
    <xf numFmtId="14" fontId="3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4" fontId="6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" fontId="7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/>
    <xf numFmtId="1" fontId="8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16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right"/>
    </xf>
    <xf numFmtId="4" fontId="6" fillId="0" borderId="0" xfId="0" applyNumberFormat="1" applyFont="1"/>
    <xf numFmtId="14" fontId="0" fillId="0" borderId="0" xfId="0" applyNumberFormat="1"/>
    <xf numFmtId="0" fontId="0" fillId="0" borderId="0" xfId="0" applyAlignment="1">
      <alignment horizontal="left"/>
    </xf>
    <xf numFmtId="14" fontId="6" fillId="0" borderId="0" xfId="0" applyNumberFormat="1" applyFont="1"/>
    <xf numFmtId="0" fontId="0" fillId="0" borderId="0" xfId="0" applyAlignment="1">
      <alignment horizontal="center"/>
    </xf>
    <xf numFmtId="0" fontId="0" fillId="2" borderId="0" xfId="0" applyFill="1"/>
    <xf numFmtId="14" fontId="9" fillId="3" borderId="0" xfId="0" applyNumberFormat="1" applyFont="1" applyFill="1" applyAlignment="1">
      <alignment horizontal="center"/>
    </xf>
    <xf numFmtId="14" fontId="6" fillId="3" borderId="0" xfId="0" applyNumberFormat="1" applyFont="1" applyFill="1" applyAlignment="1">
      <alignment horizontal="center"/>
    </xf>
    <xf numFmtId="3" fontId="3" fillId="0" borderId="0" xfId="0" applyNumberFormat="1" applyFont="1" applyAlignment="1">
      <alignment horizontal="center" wrapText="1"/>
    </xf>
    <xf numFmtId="4" fontId="6" fillId="4" borderId="0" xfId="0" applyNumberFormat="1" applyFont="1" applyFill="1" applyAlignment="1">
      <alignment horizontal="right"/>
    </xf>
    <xf numFmtId="14" fontId="8" fillId="2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16" fontId="8" fillId="0" borderId="0" xfId="0" applyNumberFormat="1" applyFont="1" applyAlignment="1">
      <alignment horizontal="center"/>
    </xf>
    <xf numFmtId="0" fontId="8" fillId="0" borderId="0" xfId="0" applyFont="1"/>
    <xf numFmtId="4" fontId="8" fillId="0" borderId="0" xfId="0" applyNumberFormat="1" applyFont="1" applyAlignment="1">
      <alignment horizontal="right"/>
    </xf>
    <xf numFmtId="4" fontId="8" fillId="0" borderId="0" xfId="0" applyNumberFormat="1" applyFont="1"/>
    <xf numFmtId="14" fontId="8" fillId="3" borderId="0" xfId="0" applyNumberFormat="1" applyFont="1" applyFill="1" applyAlignment="1">
      <alignment horizontal="center"/>
    </xf>
    <xf numFmtId="4" fontId="8" fillId="4" borderId="0" xfId="0" applyNumberFormat="1" applyFont="1" applyFill="1" applyAlignment="1">
      <alignment horizontal="right"/>
    </xf>
    <xf numFmtId="1" fontId="8" fillId="0" borderId="0" xfId="0" quotePrefix="1" applyNumberFormat="1" applyFont="1" applyAlignment="1">
      <alignment horizontal="center"/>
    </xf>
    <xf numFmtId="14" fontId="9" fillId="2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6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4" fontId="9" fillId="4" borderId="0" xfId="0" applyNumberFormat="1" applyFont="1" applyFill="1" applyAlignment="1">
      <alignment horizontal="right"/>
    </xf>
    <xf numFmtId="4" fontId="9" fillId="0" borderId="0" xfId="0" applyNumberFormat="1" applyFont="1"/>
    <xf numFmtId="3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right"/>
    </xf>
    <xf numFmtId="16" fontId="9" fillId="0" borderId="0" xfId="0" applyNumberFormat="1" applyFont="1"/>
    <xf numFmtId="164" fontId="2" fillId="0" borderId="0" xfId="0" applyNumberFormat="1" applyFont="1"/>
    <xf numFmtId="14" fontId="3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4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16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quotePrefix="1" applyNumberFormat="1" applyFont="1" applyAlignment="1">
      <alignment horizontal="center" vertical="center"/>
    </xf>
    <xf numFmtId="1" fontId="6" fillId="0" borderId="0" xfId="0" quotePrefix="1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" fontId="6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14" fontId="1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4" fontId="8" fillId="0" borderId="0" xfId="0" applyNumberFormat="1" applyFont="1"/>
    <xf numFmtId="0" fontId="13" fillId="0" borderId="0" xfId="0" applyFont="1"/>
    <xf numFmtId="16" fontId="6" fillId="0" borderId="0" xfId="0" applyNumberFormat="1" applyFont="1" applyAlignment="1">
      <alignment horizontal="left"/>
    </xf>
    <xf numFmtId="0" fontId="6" fillId="5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2" fontId="6" fillId="0" borderId="0" xfId="0" applyNumberFormat="1" applyFont="1"/>
    <xf numFmtId="4" fontId="6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6" borderId="0" xfId="0" applyFont="1" applyFill="1" applyAlignment="1">
      <alignment horizontal="center"/>
    </xf>
    <xf numFmtId="4" fontId="6" fillId="0" borderId="0" xfId="0" applyNumberFormat="1" applyFont="1" applyAlignment="1">
      <alignment horizontal="center" wrapText="1"/>
    </xf>
    <xf numFmtId="14" fontId="6" fillId="0" borderId="0" xfId="0" applyNumberFormat="1" applyFont="1" applyAlignment="1">
      <alignment horizontal="left"/>
    </xf>
    <xf numFmtId="164" fontId="6" fillId="0" borderId="0" xfId="0" applyNumberFormat="1" applyFont="1"/>
  </cellXfs>
  <cellStyles count="2">
    <cellStyle name="Normal" xfId="0" builtinId="0"/>
    <cellStyle name="Normale_Foglio4" xfId="1" xr:uid="{B96CF8C4-5B83-4C48-BABB-000E1A80C5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 filterMode="1">
    <pageSetUpPr fitToPage="1"/>
  </sheetPr>
  <dimension ref="A1:U500"/>
  <sheetViews>
    <sheetView tabSelected="1" zoomScaleNormal="100" workbookViewId="0">
      <pane ySplit="1" topLeftCell="A2" activePane="bottomLeft" state="frozen"/>
      <selection pane="bottomLeft" activeCell="H65" sqref="H65"/>
    </sheetView>
  </sheetViews>
  <sheetFormatPr baseColWidth="10" defaultColWidth="9.125" defaultRowHeight="14.25" outlineLevelCol="1" x14ac:dyDescent="0.2"/>
  <cols>
    <col min="1" max="1" width="5.625" style="19" customWidth="1"/>
    <col min="2" max="2" width="11.125" style="20" customWidth="1"/>
    <col min="3" max="3" width="10.375" style="5" customWidth="1"/>
    <col min="4" max="4" width="14.875" customWidth="1"/>
    <col min="5" max="5" width="21.375" customWidth="1"/>
    <col min="6" max="6" width="23.125" customWidth="1" outlineLevel="1"/>
    <col min="7" max="7" width="8.625" customWidth="1" outlineLevel="1"/>
    <col min="8" max="8" width="10" customWidth="1" outlineLevel="1"/>
    <col min="9" max="9" width="14.625" customWidth="1" outlineLevel="1"/>
    <col min="10" max="10" width="13.375" customWidth="1" outlineLevel="1"/>
    <col min="11" max="11" width="11.875" customWidth="1"/>
    <col min="12" max="12" width="6.125" customWidth="1"/>
    <col min="13" max="13" width="11.125" style="18" customWidth="1"/>
    <col min="14" max="14" width="10.125" style="14" customWidth="1"/>
    <col min="15" max="15" width="27.125" style="7" customWidth="1"/>
    <col min="16" max="16" width="13.625" style="21" customWidth="1"/>
    <col min="17" max="17" width="12.625" customWidth="1"/>
    <col min="18" max="18" width="16.875" style="22" bestFit="1" customWidth="1"/>
    <col min="19" max="20" width="11.125" bestFit="1" customWidth="1"/>
    <col min="21" max="21" width="11.125" style="16" bestFit="1" customWidth="1"/>
  </cols>
  <sheetData>
    <row r="1" spans="1:21" ht="22.5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12" t="s">
        <v>10</v>
      </c>
      <c r="L1" s="12" t="s">
        <v>11</v>
      </c>
      <c r="M1" s="85" t="s">
        <v>12</v>
      </c>
      <c r="N1" s="14" t="s">
        <v>393</v>
      </c>
      <c r="O1" s="86" t="s">
        <v>14</v>
      </c>
      <c r="P1" s="21" t="s">
        <v>15</v>
      </c>
      <c r="Q1" s="23" t="s">
        <v>16</v>
      </c>
      <c r="R1" s="22" t="s">
        <v>17</v>
      </c>
      <c r="S1" s="73" t="s">
        <v>351</v>
      </c>
      <c r="T1" s="73" t="s">
        <v>352</v>
      </c>
      <c r="U1" s="73" t="s">
        <v>353</v>
      </c>
    </row>
    <row r="2" spans="1:21" s="29" customFormat="1" ht="11.25" x14ac:dyDescent="0.2">
      <c r="A2" s="25" t="s">
        <v>58</v>
      </c>
      <c r="B2" s="25">
        <v>45993</v>
      </c>
      <c r="C2" s="25"/>
      <c r="D2" s="26">
        <v>202511025</v>
      </c>
      <c r="E2" s="78" t="s">
        <v>75</v>
      </c>
      <c r="F2" s="27" t="s">
        <v>71</v>
      </c>
      <c r="G2" s="28" t="s">
        <v>65</v>
      </c>
      <c r="H2" s="11">
        <v>21</v>
      </c>
      <c r="I2" s="27" t="s">
        <v>53</v>
      </c>
      <c r="J2" s="28">
        <v>45973</v>
      </c>
      <c r="K2" s="30">
        <v>27763.85</v>
      </c>
      <c r="L2" s="31" t="s">
        <v>20</v>
      </c>
      <c r="M2" s="18"/>
      <c r="N2" s="14"/>
      <c r="O2" s="77" t="s">
        <v>427</v>
      </c>
      <c r="P2" s="32"/>
      <c r="Q2" s="43" t="str">
        <f t="shared" ref="Q2:Q33" si="0">IF(P2="","En attente paiement",P2-B2)</f>
        <v>En attente paiement</v>
      </c>
      <c r="R2" s="22">
        <v>46002</v>
      </c>
      <c r="S2" s="26" t="str">
        <f t="shared" ref="S2" si="1">IFERROR(ROUND(AVERAGEIF($E$2:$E$2202,E2,$Q$2:$Q$2202),0),"N/D")</f>
        <v>N/D</v>
      </c>
      <c r="T2" s="29" t="str" cm="1">
        <f t="array" aca="1" ref="T2" ca="1">IFERROR(ROUND(CENTILE.SI.ENS($Q$2:$Q$2202,0.5,$E$2:$E$2202,E2,$Q$2:$Q$2202,"&gt;0"),0),"N/D")</f>
        <v>N/D</v>
      </c>
      <c r="U2" s="74" t="str">
        <f t="shared" ref="U2" si="2">IFERROR(B2+ROUNDUP(AVERAGEIF($E$2:$E$2202,E2,$Q$2:$Q$2202)*1.2,0),"N/D")</f>
        <v>N/D</v>
      </c>
    </row>
    <row r="3" spans="1:21" s="29" customFormat="1" ht="11.25" hidden="1" x14ac:dyDescent="0.2">
      <c r="A3" s="35" t="s">
        <v>58</v>
      </c>
      <c r="B3" s="35">
        <v>46090</v>
      </c>
      <c r="C3" s="35"/>
      <c r="D3" s="36">
        <v>202602012</v>
      </c>
      <c r="E3" s="37" t="s">
        <v>195</v>
      </c>
      <c r="F3" s="37" t="s">
        <v>196</v>
      </c>
      <c r="G3" s="38" t="s">
        <v>22</v>
      </c>
      <c r="H3" s="39">
        <v>30</v>
      </c>
      <c r="I3" s="40" t="s">
        <v>48</v>
      </c>
      <c r="J3" s="38">
        <v>46061</v>
      </c>
      <c r="K3" s="41">
        <v>443413.82</v>
      </c>
      <c r="L3" s="42" t="s">
        <v>20</v>
      </c>
      <c r="M3" s="18">
        <v>46099</v>
      </c>
      <c r="N3" s="44"/>
      <c r="O3" s="7"/>
      <c r="P3" s="21">
        <v>46093</v>
      </c>
      <c r="Q3" s="43">
        <f t="shared" si="0"/>
        <v>3</v>
      </c>
      <c r="R3" s="21">
        <v>46091</v>
      </c>
      <c r="S3" s="26">
        <f t="shared" ref="S2:S65" si="3">IFERROR(ROUND(AVERAGEIF($E$2:$E$2202,E3,$Q$2:$Q$2202),0),"N/D")</f>
        <v>3</v>
      </c>
      <c r="T3" s="29" t="str" cm="1">
        <f t="array" aca="1" ref="T3" ca="1">IFERROR(ROUND(CENTILE.SI.ENS($Q$2:$Q$2202,0.5,$E$2:$E$2202,E3,$Q$2:$Q$2202,"&gt;0"),0),"N/D")</f>
        <v>N/D</v>
      </c>
      <c r="U3" s="74">
        <f t="shared" ref="U2:U65" si="4">IFERROR(B3+ROUNDUP(AVERAGEIF($E$2:$E$2202,E3,$Q$2:$Q$2202)*1.2,0),"N/D")</f>
        <v>46094</v>
      </c>
    </row>
    <row r="4" spans="1:21" s="29" customFormat="1" ht="11.25" hidden="1" x14ac:dyDescent="0.2">
      <c r="A4" s="35" t="s">
        <v>54</v>
      </c>
      <c r="B4" s="35">
        <v>46038</v>
      </c>
      <c r="C4" s="35"/>
      <c r="D4" s="36">
        <v>2</v>
      </c>
      <c r="E4" s="37" t="s">
        <v>72</v>
      </c>
      <c r="F4" s="37" t="s">
        <v>56</v>
      </c>
      <c r="G4" s="38" t="s">
        <v>32</v>
      </c>
      <c r="H4" s="39">
        <v>15</v>
      </c>
      <c r="I4" s="40" t="s">
        <v>42</v>
      </c>
      <c r="J4" s="38">
        <v>46024</v>
      </c>
      <c r="K4" s="41">
        <f>101443.51+3613.03</f>
        <v>105056.54</v>
      </c>
      <c r="L4" s="42" t="s">
        <v>34</v>
      </c>
      <c r="M4" s="18">
        <v>46066</v>
      </c>
      <c r="N4" s="44"/>
      <c r="O4" s="7" t="s">
        <v>201</v>
      </c>
      <c r="P4" s="21">
        <v>46108</v>
      </c>
      <c r="Q4" s="43">
        <f t="shared" si="0"/>
        <v>70</v>
      </c>
      <c r="R4" s="21">
        <v>46056</v>
      </c>
      <c r="S4" s="26">
        <f t="shared" si="3"/>
        <v>36</v>
      </c>
      <c r="T4" s="29" t="str" cm="1">
        <f t="array" aca="1" ref="T4" ca="1">IFERROR(ROUND(CENTILE.SI.ENS($Q$2:$Q$2202,0.5,$E$2:$E$2202,E4,$Q$2:$Q$2202,"&gt;0"),0),"N/D")</f>
        <v>N/D</v>
      </c>
      <c r="U4" s="74">
        <f t="shared" si="4"/>
        <v>46081</v>
      </c>
    </row>
    <row r="5" spans="1:21" s="29" customFormat="1" ht="11.25" hidden="1" x14ac:dyDescent="0.2">
      <c r="A5" s="35" t="s">
        <v>54</v>
      </c>
      <c r="B5" s="35">
        <v>46042</v>
      </c>
      <c r="C5" s="35"/>
      <c r="D5" s="36">
        <v>4</v>
      </c>
      <c r="E5" s="37" t="s">
        <v>72</v>
      </c>
      <c r="F5" s="37" t="s">
        <v>56</v>
      </c>
      <c r="G5" s="38" t="s">
        <v>22</v>
      </c>
      <c r="H5" s="39">
        <v>7</v>
      </c>
      <c r="I5" s="40" t="s">
        <v>37</v>
      </c>
      <c r="J5" s="38">
        <v>46036</v>
      </c>
      <c r="K5" s="41">
        <v>117283.86</v>
      </c>
      <c r="L5" s="42" t="s">
        <v>34</v>
      </c>
      <c r="M5" s="18">
        <v>46062</v>
      </c>
      <c r="N5" s="44">
        <f>33556.49+83727.37</f>
        <v>117283.85999999999</v>
      </c>
      <c r="O5" s="7" t="s">
        <v>116</v>
      </c>
      <c r="P5" s="21">
        <v>46065</v>
      </c>
      <c r="Q5" s="43">
        <f t="shared" si="0"/>
        <v>23</v>
      </c>
      <c r="R5" s="21">
        <v>46045</v>
      </c>
      <c r="S5" s="26">
        <f t="shared" si="3"/>
        <v>36</v>
      </c>
      <c r="T5" s="29" t="str" cm="1">
        <f t="array" aca="1" ref="T5" ca="1">IFERROR(ROUND(CENTILE.SI.ENS($Q$2:$Q$2202,0.5,$E$2:$E$2202,E5,$Q$2:$Q$2202,"&gt;0"),0),"N/D")</f>
        <v>N/D</v>
      </c>
      <c r="U5" s="74">
        <f t="shared" si="4"/>
        <v>46085</v>
      </c>
    </row>
    <row r="6" spans="1:21" s="29" customFormat="1" ht="11.25" hidden="1" x14ac:dyDescent="0.2">
      <c r="A6" s="35" t="s">
        <v>55</v>
      </c>
      <c r="B6" s="35">
        <v>46049</v>
      </c>
      <c r="C6" s="35"/>
      <c r="D6" s="36">
        <v>3</v>
      </c>
      <c r="E6" s="37" t="s">
        <v>72</v>
      </c>
      <c r="F6" s="37" t="s">
        <v>57</v>
      </c>
      <c r="G6" s="38" t="s">
        <v>32</v>
      </c>
      <c r="H6" s="39">
        <v>15</v>
      </c>
      <c r="I6" s="40" t="s">
        <v>42</v>
      </c>
      <c r="J6" s="38">
        <v>46034</v>
      </c>
      <c r="K6" s="41">
        <f>101444.18+3613.06</f>
        <v>105057.23999999999</v>
      </c>
      <c r="L6" s="42" t="s">
        <v>34</v>
      </c>
      <c r="M6" s="18">
        <v>46077</v>
      </c>
      <c r="N6" s="44">
        <f>51272.63+50171.55</f>
        <v>101444.18</v>
      </c>
      <c r="O6" s="7" t="s">
        <v>220</v>
      </c>
      <c r="P6" s="21">
        <v>46108</v>
      </c>
      <c r="Q6" s="43">
        <f t="shared" si="0"/>
        <v>59</v>
      </c>
      <c r="R6" s="21">
        <v>46064</v>
      </c>
      <c r="S6" s="26">
        <f t="shared" si="3"/>
        <v>36</v>
      </c>
      <c r="T6" s="29" t="str" cm="1">
        <f t="array" aca="1" ref="T6" ca="1">IFERROR(ROUND(CENTILE.SI.ENS($Q$2:$Q$2202,0.5,$E$2:$E$2202,E6,$Q$2:$Q$2202,"&gt;0"),0),"N/D")</f>
        <v>N/D</v>
      </c>
      <c r="U6" s="74">
        <f t="shared" si="4"/>
        <v>46092</v>
      </c>
    </row>
    <row r="7" spans="1:21" s="29" customFormat="1" ht="11.25" hidden="1" x14ac:dyDescent="0.2">
      <c r="A7" s="35" t="s">
        <v>55</v>
      </c>
      <c r="B7" s="35">
        <v>46052</v>
      </c>
      <c r="C7" s="35"/>
      <c r="D7" s="36">
        <v>7</v>
      </c>
      <c r="E7" s="37" t="s">
        <v>72</v>
      </c>
      <c r="F7" s="37" t="s">
        <v>147</v>
      </c>
      <c r="G7" s="38" t="s">
        <v>32</v>
      </c>
      <c r="H7" s="39">
        <v>15</v>
      </c>
      <c r="I7" s="40" t="s">
        <v>148</v>
      </c>
      <c r="J7" s="38">
        <v>46038</v>
      </c>
      <c r="K7" s="41">
        <v>28515.89</v>
      </c>
      <c r="L7" s="42" t="s">
        <v>34</v>
      </c>
      <c r="M7" s="18">
        <v>46080</v>
      </c>
      <c r="N7" s="44">
        <v>28515.89</v>
      </c>
      <c r="O7" s="7"/>
      <c r="P7" s="21">
        <v>46071</v>
      </c>
      <c r="Q7" s="43">
        <f t="shared" si="0"/>
        <v>19</v>
      </c>
      <c r="R7" s="21">
        <v>46069</v>
      </c>
      <c r="S7" s="26">
        <f t="shared" si="3"/>
        <v>36</v>
      </c>
      <c r="T7" s="29" t="str" cm="1">
        <f t="array" aca="1" ref="T7" ca="1">IFERROR(ROUND(CENTILE.SI.ENS($Q$2:$Q$2202,0.5,$E$2:$E$2202,E7,$Q$2:$Q$2202,"&gt;0"),0),"N/D")</f>
        <v>N/D</v>
      </c>
      <c r="U7" s="74">
        <f t="shared" si="4"/>
        <v>46095</v>
      </c>
    </row>
    <row r="8" spans="1:21" s="40" customFormat="1" ht="11.25" hidden="1" x14ac:dyDescent="0.2">
      <c r="A8" s="35" t="s">
        <v>55</v>
      </c>
      <c r="B8" s="35">
        <v>46052</v>
      </c>
      <c r="C8" s="35"/>
      <c r="D8" s="36">
        <v>8</v>
      </c>
      <c r="E8" s="37" t="s">
        <v>72</v>
      </c>
      <c r="F8" s="37" t="s">
        <v>149</v>
      </c>
      <c r="G8" s="38" t="s">
        <v>32</v>
      </c>
      <c r="H8" s="39">
        <v>15</v>
      </c>
      <c r="I8" s="40" t="s">
        <v>148</v>
      </c>
      <c r="J8" s="38">
        <v>46038</v>
      </c>
      <c r="K8" s="41">
        <v>28517.5</v>
      </c>
      <c r="L8" s="42" t="s">
        <v>34</v>
      </c>
      <c r="M8" s="18">
        <v>46080</v>
      </c>
      <c r="N8" s="44">
        <v>28517.5</v>
      </c>
      <c r="O8" s="7"/>
      <c r="P8" s="21">
        <v>46071</v>
      </c>
      <c r="Q8" s="43">
        <f t="shared" si="0"/>
        <v>19</v>
      </c>
      <c r="R8" s="21">
        <v>46069</v>
      </c>
      <c r="S8" s="26">
        <f t="shared" si="3"/>
        <v>36</v>
      </c>
      <c r="T8" s="29" t="str" cm="1">
        <f t="array" aca="1" ref="T8" ca="1">IFERROR(ROUND(CENTILE.SI.ENS($Q$2:$Q$2202,0.5,$E$2:$E$2202,E8,$Q$2:$Q$2202,"&gt;0"),0),"N/D")</f>
        <v>N/D</v>
      </c>
      <c r="U8" s="74">
        <f t="shared" si="4"/>
        <v>46095</v>
      </c>
    </row>
    <row r="9" spans="1:21" s="40" customFormat="1" ht="11.25" hidden="1" x14ac:dyDescent="0.2">
      <c r="A9" s="35" t="s">
        <v>55</v>
      </c>
      <c r="B9" s="35">
        <v>46052</v>
      </c>
      <c r="C9" s="35"/>
      <c r="D9" s="36">
        <v>9</v>
      </c>
      <c r="E9" s="37" t="s">
        <v>72</v>
      </c>
      <c r="F9" s="37" t="s">
        <v>150</v>
      </c>
      <c r="G9" s="38" t="s">
        <v>32</v>
      </c>
      <c r="H9" s="39">
        <v>15</v>
      </c>
      <c r="I9" s="40" t="s">
        <v>148</v>
      </c>
      <c r="J9" s="38">
        <v>46038</v>
      </c>
      <c r="K9" s="41">
        <v>28517.5</v>
      </c>
      <c r="L9" s="42" t="s">
        <v>34</v>
      </c>
      <c r="M9" s="18">
        <v>46080</v>
      </c>
      <c r="N9" s="44">
        <v>28517.5</v>
      </c>
      <c r="O9" s="7"/>
      <c r="P9" s="21">
        <v>46071</v>
      </c>
      <c r="Q9" s="43">
        <f t="shared" si="0"/>
        <v>19</v>
      </c>
      <c r="R9" s="21">
        <v>46069</v>
      </c>
      <c r="S9" s="26">
        <f t="shared" si="3"/>
        <v>36</v>
      </c>
      <c r="T9" s="29" t="str" cm="1">
        <f t="array" aca="1" ref="T9" ca="1">IFERROR(ROUND(CENTILE.SI.ENS($Q$2:$Q$2202,0.5,$E$2:$E$2202,E9,$Q$2:$Q$2202,"&gt;0"),0),"N/D")</f>
        <v>N/D</v>
      </c>
      <c r="U9" s="74">
        <f t="shared" si="4"/>
        <v>46095</v>
      </c>
    </row>
    <row r="10" spans="1:21" s="40" customFormat="1" ht="11.25" hidden="1" x14ac:dyDescent="0.2">
      <c r="A10" s="35" t="s">
        <v>55</v>
      </c>
      <c r="B10" s="35">
        <v>46063</v>
      </c>
      <c r="C10" s="35">
        <f>+B10+15</f>
        <v>46078</v>
      </c>
      <c r="D10" s="36">
        <v>10</v>
      </c>
      <c r="E10" s="37" t="s">
        <v>72</v>
      </c>
      <c r="F10" s="37" t="s">
        <v>56</v>
      </c>
      <c r="G10" s="38" t="s">
        <v>32</v>
      </c>
      <c r="H10" s="39">
        <v>15</v>
      </c>
      <c r="I10" s="37" t="s">
        <v>37</v>
      </c>
      <c r="J10" s="38">
        <v>46048</v>
      </c>
      <c r="K10" s="41">
        <v>171568.4</v>
      </c>
      <c r="L10" s="42" t="s">
        <v>34</v>
      </c>
      <c r="M10" s="18">
        <v>46111</v>
      </c>
      <c r="N10" s="44"/>
      <c r="O10" s="7" t="s">
        <v>253</v>
      </c>
      <c r="P10" s="21">
        <v>46108</v>
      </c>
      <c r="Q10" s="43">
        <f t="shared" si="0"/>
        <v>45</v>
      </c>
      <c r="R10" s="21">
        <v>46078</v>
      </c>
      <c r="S10" s="26">
        <f t="shared" si="3"/>
        <v>36</v>
      </c>
      <c r="T10" s="29" t="str" cm="1">
        <f t="array" aca="1" ref="T10" ca="1">IFERROR(ROUND(CENTILE.SI.ENS($Q$2:$Q$2202,0.5,$E$2:$E$2202,E10,$Q$2:$Q$2202,"&gt;0"),0),"N/D")</f>
        <v>N/D</v>
      </c>
      <c r="U10" s="74">
        <f t="shared" si="4"/>
        <v>46106</v>
      </c>
    </row>
    <row r="11" spans="1:21" s="29" customFormat="1" ht="11.25" hidden="1" x14ac:dyDescent="0.2">
      <c r="A11" s="35" t="s">
        <v>55</v>
      </c>
      <c r="B11" s="35">
        <v>46066</v>
      </c>
      <c r="C11" s="35"/>
      <c r="D11" s="36">
        <v>12</v>
      </c>
      <c r="E11" s="37" t="s">
        <v>72</v>
      </c>
      <c r="F11" s="37" t="s">
        <v>57</v>
      </c>
      <c r="G11" s="38" t="s">
        <v>32</v>
      </c>
      <c r="H11" s="39">
        <v>30</v>
      </c>
      <c r="I11" s="40" t="s">
        <v>42</v>
      </c>
      <c r="J11" s="38">
        <v>46052</v>
      </c>
      <c r="K11" s="41">
        <v>127188.59</v>
      </c>
      <c r="L11" s="42" t="s">
        <v>34</v>
      </c>
      <c r="M11" s="18">
        <v>46111</v>
      </c>
      <c r="N11" s="44"/>
      <c r="O11" s="7" t="s">
        <v>254</v>
      </c>
      <c r="P11" s="21">
        <v>46108</v>
      </c>
      <c r="Q11" s="43">
        <f t="shared" si="0"/>
        <v>42</v>
      </c>
      <c r="R11" s="21">
        <v>46084</v>
      </c>
      <c r="S11" s="26">
        <f t="shared" si="3"/>
        <v>36</v>
      </c>
      <c r="T11" s="29" t="str" cm="1">
        <f t="array" aca="1" ref="T11" ca="1">IFERROR(ROUND(CENTILE.SI.ENS($Q$2:$Q$2202,0.5,$E$2:$E$2202,E11,$Q$2:$Q$2202,"&gt;0"),0),"N/D")</f>
        <v>N/D</v>
      </c>
      <c r="U11" s="74">
        <f t="shared" si="4"/>
        <v>46109</v>
      </c>
    </row>
    <row r="12" spans="1:21" s="40" customFormat="1" ht="11.25" hidden="1" x14ac:dyDescent="0.2">
      <c r="A12" s="35" t="s">
        <v>55</v>
      </c>
      <c r="B12" s="35">
        <v>46066</v>
      </c>
      <c r="C12" s="35"/>
      <c r="D12" s="36">
        <v>202602015</v>
      </c>
      <c r="E12" s="37" t="s">
        <v>72</v>
      </c>
      <c r="F12" s="37" t="s">
        <v>209</v>
      </c>
      <c r="G12" s="38" t="s">
        <v>22</v>
      </c>
      <c r="H12" s="39" t="s">
        <v>208</v>
      </c>
      <c r="I12" s="40" t="s">
        <v>48</v>
      </c>
      <c r="J12" s="38">
        <v>46068</v>
      </c>
      <c r="K12" s="44">
        <v>2240533.87</v>
      </c>
      <c r="L12" s="42" t="s">
        <v>20</v>
      </c>
      <c r="M12" s="18"/>
      <c r="N12" s="44">
        <v>2241000</v>
      </c>
      <c r="O12" s="7"/>
      <c r="P12" s="21">
        <v>46066</v>
      </c>
      <c r="Q12" s="43">
        <f t="shared" si="0"/>
        <v>0</v>
      </c>
      <c r="R12" s="21">
        <v>46076</v>
      </c>
      <c r="S12" s="26">
        <f t="shared" si="3"/>
        <v>36</v>
      </c>
      <c r="T12" s="29" t="str" cm="1">
        <f t="array" aca="1" ref="T12" ca="1">IFERROR(ROUND(CENTILE.SI.ENS($Q$2:$Q$2202,0.5,$E$2:$E$2202,E12,$Q$2:$Q$2202,"&gt;0"),0),"N/D")</f>
        <v>N/D</v>
      </c>
      <c r="U12" s="74">
        <f t="shared" si="4"/>
        <v>46109</v>
      </c>
    </row>
    <row r="13" spans="1:21" s="40" customFormat="1" ht="11.25" hidden="1" x14ac:dyDescent="0.2">
      <c r="A13" s="35" t="s">
        <v>55</v>
      </c>
      <c r="B13" s="35">
        <v>46080</v>
      </c>
      <c r="C13" s="35"/>
      <c r="D13" s="36">
        <v>14</v>
      </c>
      <c r="E13" s="37" t="s">
        <v>72</v>
      </c>
      <c r="F13" s="37" t="s">
        <v>175</v>
      </c>
      <c r="G13" s="38" t="s">
        <v>32</v>
      </c>
      <c r="H13" s="39">
        <v>30</v>
      </c>
      <c r="I13" s="40" t="s">
        <v>148</v>
      </c>
      <c r="J13" s="38">
        <v>46052</v>
      </c>
      <c r="K13" s="44">
        <v>29890</v>
      </c>
      <c r="L13" s="42" t="s">
        <v>34</v>
      </c>
      <c r="M13" s="18"/>
      <c r="N13" s="44"/>
      <c r="O13" s="7"/>
      <c r="P13" s="21">
        <v>46108</v>
      </c>
      <c r="Q13" s="43">
        <f t="shared" si="0"/>
        <v>28</v>
      </c>
      <c r="R13" s="21">
        <v>46083</v>
      </c>
      <c r="S13" s="26">
        <f t="shared" si="3"/>
        <v>36</v>
      </c>
      <c r="T13" s="29" t="str" cm="1">
        <f t="array" aca="1" ref="T13" ca="1">IFERROR(ROUND(CENTILE.SI.ENS($Q$2:$Q$2202,0.5,$E$2:$E$2202,E13,$Q$2:$Q$2202,"&gt;0"),0),"N/D")</f>
        <v>N/D</v>
      </c>
      <c r="U13" s="74">
        <f t="shared" si="4"/>
        <v>46123</v>
      </c>
    </row>
    <row r="14" spans="1:21" s="40" customFormat="1" ht="11.25" hidden="1" x14ac:dyDescent="0.2">
      <c r="A14" s="5" t="s">
        <v>55</v>
      </c>
      <c r="B14" s="5">
        <v>46091</v>
      </c>
      <c r="C14" s="5"/>
      <c r="D14" s="6">
        <v>17</v>
      </c>
      <c r="E14" s="7" t="s">
        <v>72</v>
      </c>
      <c r="F14" s="7" t="s">
        <v>57</v>
      </c>
      <c r="G14" s="13" t="s">
        <v>32</v>
      </c>
      <c r="H14" s="9">
        <v>30</v>
      </c>
      <c r="I14" s="10" t="s">
        <v>42</v>
      </c>
      <c r="J14" s="13">
        <v>46062</v>
      </c>
      <c r="K14" s="24">
        <v>102345.36</v>
      </c>
      <c r="L14" s="15" t="s">
        <v>34</v>
      </c>
      <c r="M14" s="18">
        <v>46128</v>
      </c>
      <c r="N14" s="44"/>
      <c r="O14" s="7"/>
      <c r="P14" s="32">
        <v>46126</v>
      </c>
      <c r="Q14" s="43">
        <f t="shared" si="0"/>
        <v>35</v>
      </c>
      <c r="R14" s="22">
        <v>46092</v>
      </c>
      <c r="S14" s="26">
        <f t="shared" si="3"/>
        <v>36</v>
      </c>
      <c r="T14" s="29" t="str" cm="1">
        <f t="array" aca="1" ref="T14" ca="1">IFERROR(ROUND(CENTILE.SI.ENS($Q$2:$Q$2202,0.5,$E$2:$E$2202,E14,$Q$2:$Q$2202,"&gt;0"),0),"N/D")</f>
        <v>N/D</v>
      </c>
      <c r="U14" s="74">
        <f t="shared" si="4"/>
        <v>46134</v>
      </c>
    </row>
    <row r="15" spans="1:21" s="40" customFormat="1" ht="11.25" hidden="1" x14ac:dyDescent="0.2">
      <c r="A15" s="5" t="s">
        <v>55</v>
      </c>
      <c r="B15" s="5">
        <v>46104</v>
      </c>
      <c r="C15" s="5">
        <v>46119</v>
      </c>
      <c r="D15" s="6">
        <v>28</v>
      </c>
      <c r="E15" s="7" t="s">
        <v>72</v>
      </c>
      <c r="F15" s="7" t="s">
        <v>57</v>
      </c>
      <c r="G15" s="13" t="s">
        <v>32</v>
      </c>
      <c r="H15" s="9" t="s">
        <v>137</v>
      </c>
      <c r="I15" s="7" t="s">
        <v>37</v>
      </c>
      <c r="J15" s="13">
        <v>46104</v>
      </c>
      <c r="K15" s="14">
        <v>145536.16</v>
      </c>
      <c r="L15" s="15" t="s">
        <v>34</v>
      </c>
      <c r="M15" s="18"/>
      <c r="N15" s="44"/>
      <c r="O15" s="7"/>
      <c r="P15" s="21">
        <v>46136</v>
      </c>
      <c r="Q15" s="43">
        <f t="shared" si="0"/>
        <v>32</v>
      </c>
      <c r="R15" s="21">
        <v>46147</v>
      </c>
      <c r="S15" s="26">
        <f t="shared" si="3"/>
        <v>36</v>
      </c>
      <c r="T15" s="29" t="str" cm="1">
        <f t="array" aca="1" ref="T15" ca="1">IFERROR(ROUND(CENTILE.SI.ENS($Q$2:$Q$2202,0.5,$E$2:$E$2202,E15,$Q$2:$Q$2202,"&gt;0"),0),"N/D")</f>
        <v>N/D</v>
      </c>
      <c r="U15" s="74">
        <f t="shared" si="4"/>
        <v>46147</v>
      </c>
    </row>
    <row r="16" spans="1:21" s="40" customFormat="1" ht="11.25" hidden="1" x14ac:dyDescent="0.2">
      <c r="A16" s="5" t="s">
        <v>55</v>
      </c>
      <c r="B16" s="5">
        <v>46108</v>
      </c>
      <c r="C16" s="5"/>
      <c r="D16" s="6">
        <v>26</v>
      </c>
      <c r="E16" s="7" t="s">
        <v>72</v>
      </c>
      <c r="F16" s="7" t="s">
        <v>329</v>
      </c>
      <c r="G16" s="13" t="s">
        <v>32</v>
      </c>
      <c r="H16" s="9" t="s">
        <v>137</v>
      </c>
      <c r="I16" s="10" t="s">
        <v>42</v>
      </c>
      <c r="J16" s="13">
        <v>46108</v>
      </c>
      <c r="K16" s="14">
        <v>40485.43</v>
      </c>
      <c r="L16" s="15" t="s">
        <v>34</v>
      </c>
      <c r="M16" s="18"/>
      <c r="N16" s="44"/>
      <c r="O16" s="7"/>
      <c r="P16" s="21">
        <v>46136</v>
      </c>
      <c r="Q16" s="43">
        <f t="shared" si="0"/>
        <v>28</v>
      </c>
      <c r="R16" s="21">
        <v>46139</v>
      </c>
      <c r="S16" s="26">
        <f t="shared" si="3"/>
        <v>36</v>
      </c>
      <c r="T16" s="29" t="str" cm="1">
        <f t="array" aca="1" ref="T16" ca="1">IFERROR(ROUND(CENTILE.SI.ENS($Q$2:$Q$2202,0.5,$E$2:$E$2202,E16,$Q$2:$Q$2202,"&gt;0"),0),"N/D")</f>
        <v>N/D</v>
      </c>
      <c r="U16" s="74">
        <f t="shared" si="4"/>
        <v>46151</v>
      </c>
    </row>
    <row r="17" spans="1:21" s="40" customFormat="1" ht="11.25" hidden="1" x14ac:dyDescent="0.2">
      <c r="A17" s="5" t="s">
        <v>55</v>
      </c>
      <c r="B17" s="5">
        <v>46108</v>
      </c>
      <c r="C17" s="5"/>
      <c r="D17" s="6">
        <v>27</v>
      </c>
      <c r="E17" s="7" t="s">
        <v>72</v>
      </c>
      <c r="F17" s="7" t="s">
        <v>56</v>
      </c>
      <c r="G17" s="13" t="s">
        <v>32</v>
      </c>
      <c r="H17" s="9" t="s">
        <v>137</v>
      </c>
      <c r="I17" s="10" t="s">
        <v>42</v>
      </c>
      <c r="J17" s="13">
        <v>46108</v>
      </c>
      <c r="K17" s="14">
        <v>222473.8</v>
      </c>
      <c r="L17" s="15" t="s">
        <v>34</v>
      </c>
      <c r="M17" s="18"/>
      <c r="N17" s="44"/>
      <c r="O17" s="7"/>
      <c r="P17" s="21">
        <v>46140</v>
      </c>
      <c r="Q17" s="43">
        <f t="shared" si="0"/>
        <v>32</v>
      </c>
      <c r="R17" s="21">
        <v>46139</v>
      </c>
      <c r="S17" s="26">
        <f t="shared" si="3"/>
        <v>36</v>
      </c>
      <c r="T17" s="29" t="str" cm="1">
        <f t="array" aca="1" ref="T17" ca="1">IFERROR(ROUND(CENTILE.SI.ENS($Q$2:$Q$2202,0.5,$E$2:$E$2202,E17,$Q$2:$Q$2202,"&gt;0"),0),"N/D")</f>
        <v>N/D</v>
      </c>
      <c r="U17" s="74">
        <f t="shared" si="4"/>
        <v>46151</v>
      </c>
    </row>
    <row r="18" spans="1:21" s="40" customFormat="1" ht="11.25" hidden="1" x14ac:dyDescent="0.2">
      <c r="A18" s="5" t="s">
        <v>55</v>
      </c>
      <c r="B18" s="5">
        <v>46119</v>
      </c>
      <c r="C18" s="5"/>
      <c r="D18" s="6">
        <v>19</v>
      </c>
      <c r="E18" s="7" t="s">
        <v>72</v>
      </c>
      <c r="F18" s="7" t="s">
        <v>56</v>
      </c>
      <c r="G18" s="8" t="s">
        <v>32</v>
      </c>
      <c r="H18" s="9">
        <v>30</v>
      </c>
      <c r="I18" s="10" t="s">
        <v>42</v>
      </c>
      <c r="J18" s="13">
        <v>46090</v>
      </c>
      <c r="K18" s="14">
        <v>145399.07</v>
      </c>
      <c r="L18" s="15" t="s">
        <v>34</v>
      </c>
      <c r="M18" s="18"/>
      <c r="N18" s="44"/>
      <c r="O18" s="7"/>
      <c r="P18" s="21">
        <v>46147</v>
      </c>
      <c r="Q18" s="43">
        <f t="shared" si="0"/>
        <v>28</v>
      </c>
      <c r="R18" s="22">
        <v>46120</v>
      </c>
      <c r="S18" s="26">
        <f t="shared" si="3"/>
        <v>36</v>
      </c>
      <c r="T18" s="29" t="str" cm="1">
        <f t="array" aca="1" ref="T18" ca="1">IFERROR(ROUND(CENTILE.SI.ENS($Q$2:$Q$2202,0.5,$E$2:$E$2202,E18,$Q$2:$Q$2202,"&gt;0"),0),"N/D")</f>
        <v>N/D</v>
      </c>
      <c r="U18" s="74">
        <f t="shared" si="4"/>
        <v>46162</v>
      </c>
    </row>
    <row r="19" spans="1:21" s="40" customFormat="1" ht="11.25" hidden="1" x14ac:dyDescent="0.2">
      <c r="A19" s="5" t="s">
        <v>55</v>
      </c>
      <c r="B19" s="5">
        <v>46120</v>
      </c>
      <c r="C19" s="5"/>
      <c r="D19" s="6">
        <v>21</v>
      </c>
      <c r="E19" s="7" t="s">
        <v>72</v>
      </c>
      <c r="F19" s="7" t="s">
        <v>57</v>
      </c>
      <c r="G19" s="8" t="s">
        <v>32</v>
      </c>
      <c r="H19" s="9">
        <v>30</v>
      </c>
      <c r="I19" s="10" t="s">
        <v>302</v>
      </c>
      <c r="J19" s="13">
        <v>46091</v>
      </c>
      <c r="K19" s="14">
        <v>175436.63</v>
      </c>
      <c r="L19" s="15" t="s">
        <v>34</v>
      </c>
      <c r="M19" s="18"/>
      <c r="N19" s="44"/>
      <c r="O19" s="7"/>
      <c r="P19" s="21">
        <v>46140</v>
      </c>
      <c r="Q19" s="43">
        <f t="shared" si="0"/>
        <v>20</v>
      </c>
      <c r="R19" s="22">
        <v>46141</v>
      </c>
      <c r="S19" s="26">
        <f t="shared" si="3"/>
        <v>36</v>
      </c>
      <c r="T19" s="29" t="str" cm="1">
        <f t="array" aca="1" ref="T19" ca="1">IFERROR(ROUND(CENTILE.SI.ENS($Q$2:$Q$2202,0.5,$E$2:$E$2202,E19,$Q$2:$Q$2202,"&gt;0"),0),"N/D")</f>
        <v>N/D</v>
      </c>
      <c r="U19" s="74">
        <f t="shared" si="4"/>
        <v>46163</v>
      </c>
    </row>
    <row r="20" spans="1:21" s="40" customFormat="1" ht="11.25" hidden="1" x14ac:dyDescent="0.2">
      <c r="A20" s="5" t="s">
        <v>55</v>
      </c>
      <c r="B20" s="5">
        <v>46119</v>
      </c>
      <c r="C20" s="5">
        <v>46122</v>
      </c>
      <c r="D20" s="6">
        <v>29</v>
      </c>
      <c r="E20" s="7" t="s">
        <v>72</v>
      </c>
      <c r="F20" s="7" t="s">
        <v>56</v>
      </c>
      <c r="G20" s="8" t="s">
        <v>32</v>
      </c>
      <c r="H20" s="9">
        <v>30</v>
      </c>
      <c r="I20" s="10" t="s">
        <v>42</v>
      </c>
      <c r="J20" s="13">
        <v>46090</v>
      </c>
      <c r="K20" s="14">
        <v>87131.42</v>
      </c>
      <c r="L20" s="15" t="s">
        <v>34</v>
      </c>
      <c r="M20" s="18"/>
      <c r="N20" s="44"/>
      <c r="O20" s="7" t="s">
        <v>349</v>
      </c>
      <c r="P20" s="21">
        <v>46155</v>
      </c>
      <c r="Q20" s="43">
        <f t="shared" si="0"/>
        <v>36</v>
      </c>
      <c r="R20" s="22">
        <v>46142</v>
      </c>
      <c r="S20" s="26">
        <f t="shared" si="3"/>
        <v>36</v>
      </c>
      <c r="T20" s="29" t="str" cm="1">
        <f t="array" aca="1" ref="T20" ca="1">IFERROR(ROUND(CENTILE.SI.ENS($Q$2:$Q$2202,0.5,$E$2:$E$2202,E20,$Q$2:$Q$2202,"&gt;0"),0),"N/D")</f>
        <v>N/D</v>
      </c>
      <c r="U20" s="74">
        <f t="shared" si="4"/>
        <v>46162</v>
      </c>
    </row>
    <row r="21" spans="1:21" s="40" customFormat="1" ht="11.25" hidden="1" x14ac:dyDescent="0.2">
      <c r="A21" s="5" t="s">
        <v>55</v>
      </c>
      <c r="B21" s="5">
        <v>46129</v>
      </c>
      <c r="C21" s="5">
        <v>46133</v>
      </c>
      <c r="D21" s="6">
        <v>34</v>
      </c>
      <c r="E21" s="7" t="s">
        <v>72</v>
      </c>
      <c r="F21" s="7" t="s">
        <v>57</v>
      </c>
      <c r="G21" s="8" t="s">
        <v>32</v>
      </c>
      <c r="H21" s="9" t="s">
        <v>137</v>
      </c>
      <c r="I21" s="7" t="s">
        <v>42</v>
      </c>
      <c r="J21" s="13">
        <v>46129</v>
      </c>
      <c r="K21" s="24">
        <v>209970.75</v>
      </c>
      <c r="L21" s="15" t="s">
        <v>34</v>
      </c>
      <c r="M21" s="18">
        <v>46175</v>
      </c>
      <c r="N21" s="44"/>
      <c r="O21" s="76">
        <v>46144</v>
      </c>
      <c r="P21" s="21">
        <v>46169</v>
      </c>
      <c r="Q21" s="43">
        <f t="shared" si="0"/>
        <v>40</v>
      </c>
      <c r="R21" s="21">
        <v>46160</v>
      </c>
      <c r="S21" s="26">
        <f t="shared" si="3"/>
        <v>36</v>
      </c>
      <c r="T21" s="29" t="str" cm="1">
        <f t="array" aca="1" ref="T21" ca="1">IFERROR(ROUND(CENTILE.SI.ENS($Q$2:$Q$2202,0.5,$E$2:$E$2202,E21,$Q$2:$Q$2202,"&gt;0"),0),"N/D")</f>
        <v>N/D</v>
      </c>
      <c r="U21" s="74">
        <f t="shared" si="4"/>
        <v>46172</v>
      </c>
    </row>
    <row r="22" spans="1:21" s="40" customFormat="1" ht="11.25" hidden="1" x14ac:dyDescent="0.2">
      <c r="A22" s="5" t="s">
        <v>55</v>
      </c>
      <c r="B22" s="5">
        <v>46129</v>
      </c>
      <c r="C22" s="5">
        <v>46154</v>
      </c>
      <c r="D22" s="6">
        <v>36</v>
      </c>
      <c r="E22" s="7" t="s">
        <v>72</v>
      </c>
      <c r="F22" s="7" t="s">
        <v>57</v>
      </c>
      <c r="G22" s="8" t="s">
        <v>32</v>
      </c>
      <c r="H22" s="9" t="s">
        <v>137</v>
      </c>
      <c r="I22" s="7" t="s">
        <v>42</v>
      </c>
      <c r="J22" s="13">
        <v>46129</v>
      </c>
      <c r="K22" s="14">
        <v>13198.16</v>
      </c>
      <c r="L22" s="15" t="s">
        <v>34</v>
      </c>
      <c r="M22" s="18"/>
      <c r="N22" s="44"/>
      <c r="O22" s="76"/>
      <c r="P22" s="21">
        <v>46190</v>
      </c>
      <c r="Q22" s="43">
        <f t="shared" si="0"/>
        <v>61</v>
      </c>
      <c r="R22" s="21">
        <v>46174</v>
      </c>
      <c r="S22" s="26">
        <f t="shared" si="3"/>
        <v>36</v>
      </c>
      <c r="T22" s="29" t="str" cm="1">
        <f t="array" aca="1" ref="T22" ca="1">IFERROR(ROUND(CENTILE.SI.ENS($Q$2:$Q$2202,0.5,$E$2:$E$2202,E22,$Q$2:$Q$2202,"&gt;0"),0),"N/D")</f>
        <v>N/D</v>
      </c>
      <c r="U22" s="74">
        <f t="shared" si="4"/>
        <v>46172</v>
      </c>
    </row>
    <row r="23" spans="1:21" s="40" customFormat="1" ht="11.25" hidden="1" x14ac:dyDescent="0.2">
      <c r="A23" s="5" t="s">
        <v>55</v>
      </c>
      <c r="B23" s="5">
        <v>46146</v>
      </c>
      <c r="C23" s="5">
        <v>46182</v>
      </c>
      <c r="D23" s="6">
        <v>39</v>
      </c>
      <c r="E23" s="7" t="s">
        <v>72</v>
      </c>
      <c r="F23" s="7" t="s">
        <v>56</v>
      </c>
      <c r="G23" s="8" t="s">
        <v>32</v>
      </c>
      <c r="H23" s="9" t="s">
        <v>137</v>
      </c>
      <c r="I23" s="10" t="s">
        <v>37</v>
      </c>
      <c r="J23" s="13">
        <v>46146</v>
      </c>
      <c r="K23" s="24">
        <v>188059.29</v>
      </c>
      <c r="L23" s="15" t="s">
        <v>34</v>
      </c>
      <c r="M23" s="18">
        <v>46210</v>
      </c>
      <c r="N23" s="44"/>
      <c r="O23" s="7"/>
      <c r="P23" s="21">
        <v>46190</v>
      </c>
      <c r="Q23" s="43">
        <f t="shared" si="0"/>
        <v>44</v>
      </c>
      <c r="R23" s="22">
        <v>46188</v>
      </c>
      <c r="S23" s="26">
        <f t="shared" si="3"/>
        <v>36</v>
      </c>
      <c r="T23" s="29" t="str" cm="1">
        <f t="array" aca="1" ref="T23" ca="1">IFERROR(ROUND(CENTILE.SI.ENS($Q$2:$Q$2202,0.5,$E$2:$E$2202,E23,$Q$2:$Q$2202,"&gt;0"),0),"N/D")</f>
        <v>N/D</v>
      </c>
      <c r="U23" s="74">
        <f t="shared" si="4"/>
        <v>46189</v>
      </c>
    </row>
    <row r="24" spans="1:21" s="40" customFormat="1" ht="11.25" hidden="1" x14ac:dyDescent="0.2">
      <c r="A24" s="5" t="s">
        <v>55</v>
      </c>
      <c r="B24" s="5">
        <v>46160</v>
      </c>
      <c r="C24" s="5"/>
      <c r="D24" s="6">
        <v>37</v>
      </c>
      <c r="E24" s="7" t="s">
        <v>72</v>
      </c>
      <c r="F24" s="7" t="s">
        <v>57</v>
      </c>
      <c r="G24" s="8" t="s">
        <v>32</v>
      </c>
      <c r="H24" s="9" t="s">
        <v>137</v>
      </c>
      <c r="I24" s="10" t="s">
        <v>42</v>
      </c>
      <c r="J24" s="13">
        <v>46160</v>
      </c>
      <c r="K24" s="14">
        <v>302111.78000000003</v>
      </c>
      <c r="L24" s="15" t="s">
        <v>34</v>
      </c>
      <c r="M24" s="18"/>
      <c r="N24" s="44"/>
      <c r="O24" s="79"/>
      <c r="P24" s="21">
        <v>46195</v>
      </c>
      <c r="Q24" s="43">
        <f t="shared" si="0"/>
        <v>35</v>
      </c>
      <c r="R24" s="21">
        <v>46177</v>
      </c>
      <c r="S24" s="26">
        <f t="shared" si="3"/>
        <v>36</v>
      </c>
      <c r="T24" s="29" t="str" cm="1">
        <f t="array" aca="1" ref="T24" ca="1">IFERROR(ROUND(CENTILE.SI.ENS($Q$2:$Q$2202,0.5,$E$2:$E$2202,E24,$Q$2:$Q$2202,"&gt;0"),0),"N/D")</f>
        <v>N/D</v>
      </c>
      <c r="U24" s="74">
        <f t="shared" si="4"/>
        <v>46203</v>
      </c>
    </row>
    <row r="25" spans="1:21" s="40" customFormat="1" ht="11.25" hidden="1" x14ac:dyDescent="0.2">
      <c r="A25" s="5" t="s">
        <v>55</v>
      </c>
      <c r="B25" s="5">
        <v>46164</v>
      </c>
      <c r="C25" s="5">
        <v>46182</v>
      </c>
      <c r="D25" s="6">
        <v>40</v>
      </c>
      <c r="E25" s="7" t="s">
        <v>72</v>
      </c>
      <c r="F25" s="7" t="s">
        <v>56</v>
      </c>
      <c r="G25" s="8" t="s">
        <v>32</v>
      </c>
      <c r="H25" s="9" t="s">
        <v>137</v>
      </c>
      <c r="I25" s="10" t="s">
        <v>37</v>
      </c>
      <c r="J25" s="13">
        <v>46159</v>
      </c>
      <c r="K25" s="14">
        <v>411896.8</v>
      </c>
      <c r="L25" s="15" t="s">
        <v>34</v>
      </c>
      <c r="M25" s="18">
        <v>46210</v>
      </c>
      <c r="N25" s="44"/>
      <c r="O25" s="7"/>
      <c r="P25" s="21">
        <v>46211</v>
      </c>
      <c r="Q25" s="43">
        <f t="shared" si="0"/>
        <v>47</v>
      </c>
      <c r="R25" s="22">
        <v>46188</v>
      </c>
      <c r="S25" s="26">
        <f t="shared" si="3"/>
        <v>36</v>
      </c>
      <c r="T25" s="29" t="str" cm="1">
        <f t="array" aca="1" ref="T25" ca="1">IFERROR(ROUND(CENTILE.SI.ENS($Q$2:$Q$2202,0.5,$E$2:$E$2202,E25,$Q$2:$Q$2202,"&gt;0"),0),"N/D")</f>
        <v>N/D</v>
      </c>
      <c r="U25" s="74">
        <f t="shared" si="4"/>
        <v>46207</v>
      </c>
    </row>
    <row r="26" spans="1:21" s="40" customFormat="1" ht="11.25" hidden="1" x14ac:dyDescent="0.2">
      <c r="A26" s="5" t="s">
        <v>55</v>
      </c>
      <c r="B26" s="5">
        <v>46170</v>
      </c>
      <c r="C26" s="5">
        <v>46182</v>
      </c>
      <c r="D26" s="6">
        <v>41</v>
      </c>
      <c r="E26" s="7" t="s">
        <v>72</v>
      </c>
      <c r="F26" s="7" t="s">
        <v>57</v>
      </c>
      <c r="G26" s="8" t="s">
        <v>32</v>
      </c>
      <c r="H26" s="9" t="s">
        <v>137</v>
      </c>
      <c r="I26" s="7" t="s">
        <v>37</v>
      </c>
      <c r="J26" s="13">
        <v>46170</v>
      </c>
      <c r="K26" s="24">
        <v>177946.85</v>
      </c>
      <c r="L26" s="15" t="s">
        <v>34</v>
      </c>
      <c r="M26" s="18">
        <v>46212</v>
      </c>
      <c r="N26" s="44"/>
      <c r="O26" s="7"/>
      <c r="P26" s="21">
        <v>46204</v>
      </c>
      <c r="Q26" s="43">
        <f t="shared" si="0"/>
        <v>34</v>
      </c>
      <c r="R26" s="21">
        <v>46201</v>
      </c>
      <c r="S26" s="26">
        <f t="shared" si="3"/>
        <v>36</v>
      </c>
      <c r="T26" s="29" t="str" cm="1">
        <f t="array" aca="1" ref="T26" ca="1">IFERROR(ROUND(CENTILE.SI.ENS($Q$2:$Q$2202,0.5,$E$2:$E$2202,E26,$Q$2:$Q$2202,"&gt;0"),0),"N/D")</f>
        <v>N/D</v>
      </c>
      <c r="U26" s="74">
        <f t="shared" si="4"/>
        <v>46213</v>
      </c>
    </row>
    <row r="27" spans="1:21" s="40" customFormat="1" ht="11.25" hidden="1" x14ac:dyDescent="0.2">
      <c r="A27" s="5" t="s">
        <v>55</v>
      </c>
      <c r="B27" s="5">
        <v>46168</v>
      </c>
      <c r="C27" s="5">
        <v>46182</v>
      </c>
      <c r="D27" s="6">
        <v>42</v>
      </c>
      <c r="E27" s="7" t="s">
        <v>72</v>
      </c>
      <c r="F27" s="7" t="s">
        <v>56</v>
      </c>
      <c r="G27" s="8" t="s">
        <v>32</v>
      </c>
      <c r="H27" s="9" t="s">
        <v>137</v>
      </c>
      <c r="I27" s="7" t="s">
        <v>42</v>
      </c>
      <c r="J27" s="13">
        <v>46168</v>
      </c>
      <c r="K27" s="14">
        <v>192726.12</v>
      </c>
      <c r="L27" s="15" t="s">
        <v>34</v>
      </c>
      <c r="M27" s="18">
        <v>46211</v>
      </c>
      <c r="N27" s="44">
        <v>100000</v>
      </c>
      <c r="O27" s="7" t="s">
        <v>516</v>
      </c>
      <c r="P27" s="21">
        <v>46225</v>
      </c>
      <c r="Q27" s="43">
        <f t="shared" si="0"/>
        <v>57</v>
      </c>
      <c r="R27" s="21">
        <v>46198</v>
      </c>
      <c r="S27" s="26">
        <f t="shared" si="3"/>
        <v>36</v>
      </c>
      <c r="T27" s="29" t="str" cm="1">
        <f t="array" aca="1" ref="T27" ca="1">IFERROR(ROUND(CENTILE.SI.ENS($Q$2:$Q$2202,0.5,$E$2:$E$2202,E27,$Q$2:$Q$2202,"&gt;0"),0),"N/D")</f>
        <v>N/D</v>
      </c>
      <c r="U27" s="74">
        <f t="shared" si="4"/>
        <v>46211</v>
      </c>
    </row>
    <row r="28" spans="1:21" s="40" customFormat="1" ht="11.25" x14ac:dyDescent="0.2">
      <c r="A28" s="5" t="s">
        <v>55</v>
      </c>
      <c r="B28" s="5">
        <v>46093</v>
      </c>
      <c r="C28" s="5"/>
      <c r="D28" s="6">
        <v>202602050</v>
      </c>
      <c r="E28" s="7" t="s">
        <v>247</v>
      </c>
      <c r="F28" s="7" t="s">
        <v>248</v>
      </c>
      <c r="G28" s="8" t="s">
        <v>22</v>
      </c>
      <c r="H28" s="9">
        <v>21</v>
      </c>
      <c r="I28" s="10" t="s">
        <v>249</v>
      </c>
      <c r="J28" s="13">
        <v>46073</v>
      </c>
      <c r="K28" s="14">
        <v>225005</v>
      </c>
      <c r="L28" s="15" t="s">
        <v>20</v>
      </c>
      <c r="M28" s="18"/>
      <c r="N28" s="14"/>
      <c r="O28" s="7"/>
      <c r="P28" s="21"/>
      <c r="Q28" s="43" t="str">
        <f t="shared" si="0"/>
        <v>En attente paiement</v>
      </c>
      <c r="R28" s="22">
        <v>46093</v>
      </c>
      <c r="S28" s="26" t="str">
        <f t="shared" si="3"/>
        <v>N/D</v>
      </c>
      <c r="T28" s="29" t="str" cm="1">
        <f t="array" aca="1" ref="T28" ca="1">IFERROR(ROUND(CENTILE.SI.ENS($Q$2:$Q$2202,0.5,$E$2:$E$2202,E28,$Q$2:$Q$2202,"&gt;0"),0),"N/D")</f>
        <v>N/D</v>
      </c>
      <c r="U28" s="74" t="str">
        <f t="shared" si="4"/>
        <v>N/D</v>
      </c>
    </row>
    <row r="29" spans="1:21" s="40" customFormat="1" hidden="1" x14ac:dyDescent="0.2">
      <c r="A29" s="5" t="s">
        <v>55</v>
      </c>
      <c r="B29" s="5">
        <v>46197</v>
      </c>
      <c r="C29" s="5">
        <v>46218</v>
      </c>
      <c r="D29" s="6">
        <v>47</v>
      </c>
      <c r="E29" s="7" t="s">
        <v>72</v>
      </c>
      <c r="F29" s="7" t="s">
        <v>57</v>
      </c>
      <c r="G29" s="8" t="s">
        <v>32</v>
      </c>
      <c r="H29" s="9">
        <v>0</v>
      </c>
      <c r="I29" s="7" t="s">
        <v>42</v>
      </c>
      <c r="J29" s="13">
        <v>46197</v>
      </c>
      <c r="K29" s="24">
        <f>20051.81-300</f>
        <v>19751.810000000001</v>
      </c>
      <c r="L29" s="15" t="s">
        <v>34</v>
      </c>
      <c r="M29" s="16"/>
      <c r="N29" s="44"/>
      <c r="O29" s="17"/>
      <c r="P29" s="21">
        <v>46233</v>
      </c>
      <c r="Q29" s="43">
        <f t="shared" si="0"/>
        <v>36</v>
      </c>
      <c r="R29" s="22">
        <v>46231</v>
      </c>
      <c r="S29" s="26">
        <f t="shared" si="3"/>
        <v>36</v>
      </c>
      <c r="T29" s="29" t="str" cm="1">
        <f t="array" aca="1" ref="T29" ca="1">IFERROR(ROUND(CENTILE.SI.ENS($Q$2:$Q$2202,0.5,$E$2:$E$2202,E29,$Q$2:$Q$2202,"&gt;0"),0),"N/D")</f>
        <v>N/D</v>
      </c>
      <c r="U29" s="74">
        <f t="shared" si="4"/>
        <v>46240</v>
      </c>
    </row>
    <row r="30" spans="1:21" s="40" customFormat="1" ht="14.25" customHeight="1" x14ac:dyDescent="0.2">
      <c r="A30" s="5" t="s">
        <v>18</v>
      </c>
      <c r="B30" s="5">
        <v>46094</v>
      </c>
      <c r="C30" s="5">
        <v>46077</v>
      </c>
      <c r="D30" s="6">
        <v>202602037</v>
      </c>
      <c r="E30" s="7" t="s">
        <v>28</v>
      </c>
      <c r="F30" s="7" t="s">
        <v>234</v>
      </c>
      <c r="G30" s="8" t="s">
        <v>22</v>
      </c>
      <c r="H30" s="9">
        <v>30</v>
      </c>
      <c r="I30" s="10" t="s">
        <v>235</v>
      </c>
      <c r="J30" s="13">
        <v>46066</v>
      </c>
      <c r="K30" s="24">
        <v>143077.1</v>
      </c>
      <c r="L30" s="15" t="s">
        <v>20</v>
      </c>
      <c r="M30" s="18">
        <v>46133</v>
      </c>
      <c r="N30" s="14"/>
      <c r="O30" s="7"/>
      <c r="P30" s="21"/>
      <c r="Q30" s="43" t="str">
        <f t="shared" si="0"/>
        <v>En attente paiement</v>
      </c>
      <c r="R30" s="22">
        <v>46087</v>
      </c>
      <c r="S30" s="26">
        <f t="shared" si="3"/>
        <v>35</v>
      </c>
      <c r="T30" s="29" t="str" cm="1">
        <f t="array" aca="1" ref="T30" ca="1">IFERROR(ROUND(CENTILE.SI.ENS($Q$2:$Q$2202,0.5,$E$2:$E$2202,E30,$Q$2:$Q$2202,"&gt;0"),0),"N/D")</f>
        <v>N/D</v>
      </c>
      <c r="U30" s="74">
        <f t="shared" si="4"/>
        <v>46136</v>
      </c>
    </row>
    <row r="31" spans="1:21" s="75" customFormat="1" ht="14.25" customHeight="1" x14ac:dyDescent="0.2">
      <c r="A31" s="5" t="s">
        <v>18</v>
      </c>
      <c r="B31" s="5">
        <v>46094</v>
      </c>
      <c r="C31" s="5">
        <v>46077</v>
      </c>
      <c r="D31" s="6">
        <v>202602038</v>
      </c>
      <c r="E31" s="7" t="s">
        <v>28</v>
      </c>
      <c r="F31" s="7" t="s">
        <v>234</v>
      </c>
      <c r="G31" s="8" t="s">
        <v>22</v>
      </c>
      <c r="H31" s="9">
        <v>30</v>
      </c>
      <c r="I31" s="10" t="s">
        <v>235</v>
      </c>
      <c r="J31" s="13">
        <v>46066</v>
      </c>
      <c r="K31" s="14">
        <v>6000</v>
      </c>
      <c r="L31" s="15" t="s">
        <v>20</v>
      </c>
      <c r="M31" s="18"/>
      <c r="N31" s="14"/>
      <c r="O31" s="7"/>
      <c r="P31" s="21"/>
      <c r="Q31" s="43" t="str">
        <f t="shared" si="0"/>
        <v>En attente paiement</v>
      </c>
      <c r="R31" s="22"/>
      <c r="S31" s="26">
        <f t="shared" si="3"/>
        <v>35</v>
      </c>
      <c r="T31" s="29" t="str" cm="1">
        <f t="array" aca="1" ref="T31" ca="1">IFERROR(ROUND(CENTILE.SI.ENS($Q$2:$Q$2202,0.5,$E$2:$E$2202,E31,$Q$2:$Q$2202,"&gt;0"),0),"N/D")</f>
        <v>N/D</v>
      </c>
      <c r="U31" s="74">
        <f t="shared" si="4"/>
        <v>46136</v>
      </c>
    </row>
    <row r="32" spans="1:21" s="40" customFormat="1" ht="14.25" customHeight="1" x14ac:dyDescent="0.2">
      <c r="A32" s="5" t="s">
        <v>55</v>
      </c>
      <c r="B32" s="5">
        <v>46106</v>
      </c>
      <c r="C32" s="5"/>
      <c r="D32" s="6">
        <v>202603010</v>
      </c>
      <c r="E32" s="7" t="s">
        <v>247</v>
      </c>
      <c r="F32" s="7" t="s">
        <v>267</v>
      </c>
      <c r="G32" s="8" t="s">
        <v>19</v>
      </c>
      <c r="H32" s="9">
        <v>21</v>
      </c>
      <c r="I32" s="7" t="s">
        <v>274</v>
      </c>
      <c r="J32" s="13">
        <v>46086</v>
      </c>
      <c r="K32" s="14">
        <v>27546.639999999999</v>
      </c>
      <c r="L32" s="15" t="s">
        <v>20</v>
      </c>
      <c r="M32" s="18"/>
      <c r="N32" s="14"/>
      <c r="O32" s="7"/>
      <c r="P32" s="21"/>
      <c r="Q32" s="43" t="str">
        <f t="shared" si="0"/>
        <v>En attente paiement</v>
      </c>
      <c r="R32" s="22">
        <v>46107</v>
      </c>
      <c r="S32" s="26" t="str">
        <f t="shared" si="3"/>
        <v>N/D</v>
      </c>
      <c r="T32" s="29" t="str" cm="1">
        <f t="array" aca="1" ref="T32" ca="1">IFERROR(ROUND(CENTILE.SI.ENS($Q$2:$Q$2202,0.5,$E$2:$E$2202,E32,$Q$2:$Q$2202,"&gt;0"),0),"N/D")</f>
        <v>N/D</v>
      </c>
      <c r="U32" s="74" t="str">
        <f t="shared" si="4"/>
        <v>N/D</v>
      </c>
    </row>
    <row r="33" spans="1:21" s="75" customFormat="1" ht="11.25" hidden="1" x14ac:dyDescent="0.2">
      <c r="A33" s="35" t="s">
        <v>58</v>
      </c>
      <c r="B33" s="35">
        <v>46087</v>
      </c>
      <c r="C33" s="35"/>
      <c r="D33" s="36">
        <v>202602003</v>
      </c>
      <c r="E33" s="37" t="s">
        <v>182</v>
      </c>
      <c r="F33" s="37" t="s">
        <v>183</v>
      </c>
      <c r="G33" s="38" t="s">
        <v>131</v>
      </c>
      <c r="H33" s="39">
        <v>30</v>
      </c>
      <c r="I33" s="40" t="s">
        <v>184</v>
      </c>
      <c r="J33" s="38">
        <v>46058</v>
      </c>
      <c r="K33" s="41">
        <v>247500</v>
      </c>
      <c r="L33" s="42" t="s">
        <v>20</v>
      </c>
      <c r="M33" s="18">
        <v>46091</v>
      </c>
      <c r="N33" s="44">
        <v>247500</v>
      </c>
      <c r="O33" s="7"/>
      <c r="P33" s="21">
        <v>46086</v>
      </c>
      <c r="Q33" s="43">
        <f t="shared" si="0"/>
        <v>-1</v>
      </c>
      <c r="R33" s="21">
        <v>46078</v>
      </c>
      <c r="S33" s="26">
        <f t="shared" si="3"/>
        <v>-1</v>
      </c>
      <c r="T33" s="29" t="str" cm="1">
        <f t="array" aca="1" ref="T33" ca="1">IFERROR(ROUND(CENTILE.SI.ENS($Q$2:$Q$2202,0.5,$E$2:$E$2202,E33,$Q$2:$Q$2202,"&gt;0"),0),"N/D")</f>
        <v>N/D</v>
      </c>
      <c r="U33" s="74">
        <f t="shared" si="4"/>
        <v>46086</v>
      </c>
    </row>
    <row r="34" spans="1:21" s="40" customFormat="1" ht="15" hidden="1" customHeight="1" x14ac:dyDescent="0.2">
      <c r="A34" s="5" t="s">
        <v>58</v>
      </c>
      <c r="B34" s="5">
        <v>46171</v>
      </c>
      <c r="C34" s="5"/>
      <c r="D34" s="6">
        <v>202604046</v>
      </c>
      <c r="E34" s="7" t="s">
        <v>182</v>
      </c>
      <c r="F34" s="7" t="s">
        <v>404</v>
      </c>
      <c r="G34" s="8" t="s">
        <v>131</v>
      </c>
      <c r="H34" s="9">
        <v>30</v>
      </c>
      <c r="I34" s="7" t="s">
        <v>355</v>
      </c>
      <c r="J34" s="13">
        <v>46142</v>
      </c>
      <c r="K34" s="14">
        <v>512600</v>
      </c>
      <c r="L34" s="15" t="s">
        <v>20</v>
      </c>
      <c r="M34" s="18"/>
      <c r="N34" s="44"/>
      <c r="O34" s="7"/>
      <c r="P34" s="21">
        <v>46171</v>
      </c>
      <c r="Q34" s="43">
        <f t="shared" ref="Q34:Q65" si="5">IF(P34="","En attente paiement",P34-B34)</f>
        <v>0</v>
      </c>
      <c r="R34" s="22">
        <v>46161</v>
      </c>
      <c r="S34" s="26">
        <f t="shared" si="3"/>
        <v>-1</v>
      </c>
      <c r="T34" s="29" t="str" cm="1">
        <f t="array" aca="1" ref="T34" ca="1">IFERROR(ROUND(CENTILE.SI.ENS($Q$2:$Q$2202,0.5,$E$2:$E$2202,E34,$Q$2:$Q$2202,"&gt;0"),0),"N/D")</f>
        <v>N/D</v>
      </c>
      <c r="U34" s="74">
        <f t="shared" si="4"/>
        <v>46170</v>
      </c>
    </row>
    <row r="35" spans="1:21" s="40" customFormat="1" ht="15" customHeight="1" x14ac:dyDescent="0.2">
      <c r="A35" s="5" t="s">
        <v>55</v>
      </c>
      <c r="B35" s="5">
        <v>46108</v>
      </c>
      <c r="C35" s="5"/>
      <c r="D35" s="6">
        <v>202603009</v>
      </c>
      <c r="E35" s="7" t="s">
        <v>247</v>
      </c>
      <c r="F35" s="7" t="s">
        <v>267</v>
      </c>
      <c r="G35" s="8" t="s">
        <v>19</v>
      </c>
      <c r="H35" s="9">
        <v>21</v>
      </c>
      <c r="I35" s="10" t="s">
        <v>169</v>
      </c>
      <c r="J35" s="13">
        <v>46090</v>
      </c>
      <c r="K35" s="24">
        <v>264197.23</v>
      </c>
      <c r="L35" s="15" t="s">
        <v>20</v>
      </c>
      <c r="M35" s="18">
        <v>46154</v>
      </c>
      <c r="N35" s="14"/>
      <c r="O35" s="7"/>
      <c r="P35" s="21"/>
      <c r="Q35" s="43" t="str">
        <f t="shared" si="5"/>
        <v>En attente paiement</v>
      </c>
      <c r="R35" s="22">
        <v>46108</v>
      </c>
      <c r="S35" s="26" t="str">
        <f t="shared" si="3"/>
        <v>N/D</v>
      </c>
      <c r="T35" s="29" t="str" cm="1">
        <f t="array" aca="1" ref="T35" ca="1">IFERROR(ROUND(CENTILE.SI.ENS($Q$2:$Q$2202,0.5,$E$2:$E$2202,E35,$Q$2:$Q$2202,"&gt;0"),0),"N/D")</f>
        <v>N/D</v>
      </c>
      <c r="U35" s="74" t="str">
        <f t="shared" si="4"/>
        <v>N/D</v>
      </c>
    </row>
    <row r="36" spans="1:21" s="40" customFormat="1" ht="15" customHeight="1" x14ac:dyDescent="0.2">
      <c r="A36" s="5" t="s">
        <v>44</v>
      </c>
      <c r="B36" s="5">
        <v>46182</v>
      </c>
      <c r="C36" s="5"/>
      <c r="D36" s="6">
        <v>202606010</v>
      </c>
      <c r="E36" s="7" t="s">
        <v>123</v>
      </c>
      <c r="F36" s="7" t="s">
        <v>124</v>
      </c>
      <c r="G36" s="8" t="s">
        <v>19</v>
      </c>
      <c r="H36" s="9">
        <v>0</v>
      </c>
      <c r="I36" s="10" t="s">
        <v>48</v>
      </c>
      <c r="J36" s="13">
        <v>46182</v>
      </c>
      <c r="K36" s="14">
        <v>8230.25</v>
      </c>
      <c r="L36" s="15" t="s">
        <v>20</v>
      </c>
      <c r="M36" s="18"/>
      <c r="N36" s="14"/>
      <c r="O36" s="7" t="s">
        <v>455</v>
      </c>
      <c r="P36" s="21"/>
      <c r="Q36" s="43" t="str">
        <f t="shared" si="5"/>
        <v>En attente paiement</v>
      </c>
      <c r="R36" s="22"/>
      <c r="S36" s="26">
        <f t="shared" si="3"/>
        <v>148</v>
      </c>
      <c r="T36" s="29" t="str" cm="1">
        <f t="array" aca="1" ref="T36" ca="1">IFERROR(ROUND(CENTILE.SI.ENS($Q$2:$Q$2202,0.5,$E$2:$E$2202,E36,$Q$2:$Q$2202,"&gt;0"),0),"N/D")</f>
        <v>N/D</v>
      </c>
      <c r="U36" s="74">
        <f t="shared" si="4"/>
        <v>46360</v>
      </c>
    </row>
    <row r="37" spans="1:21" s="40" customFormat="1" ht="15" customHeight="1" x14ac:dyDescent="0.2">
      <c r="A37" s="5" t="s">
        <v>55</v>
      </c>
      <c r="B37" s="5">
        <v>46197</v>
      </c>
      <c r="C37" s="5">
        <v>46202</v>
      </c>
      <c r="D37" s="6">
        <v>46</v>
      </c>
      <c r="E37" s="7" t="s">
        <v>72</v>
      </c>
      <c r="F37" s="7" t="s">
        <v>57</v>
      </c>
      <c r="G37" s="8" t="s">
        <v>32</v>
      </c>
      <c r="H37" s="9">
        <v>0</v>
      </c>
      <c r="I37" s="7" t="s">
        <v>42</v>
      </c>
      <c r="J37" s="13">
        <v>46197</v>
      </c>
      <c r="K37" s="24">
        <v>301618.25</v>
      </c>
      <c r="L37" s="15" t="s">
        <v>34</v>
      </c>
      <c r="M37" s="18">
        <v>46255</v>
      </c>
      <c r="N37" s="14">
        <v>201618.25</v>
      </c>
      <c r="O37" s="7"/>
      <c r="P37" s="21"/>
      <c r="Q37" s="43" t="str">
        <f t="shared" si="5"/>
        <v>En attente paiement</v>
      </c>
      <c r="R37" s="22">
        <v>46231</v>
      </c>
      <c r="S37" s="26">
        <f t="shared" si="3"/>
        <v>36</v>
      </c>
      <c r="T37" s="29" t="str" cm="1">
        <f t="array" aca="1" ref="T37" ca="1">IFERROR(ROUND(CENTILE.SI.ENS($Q$2:$Q$2202,0.5,$E$2:$E$2202,E37,$Q$2:$Q$2202,"&gt;0"),0),"N/D")</f>
        <v>N/D</v>
      </c>
      <c r="U37" s="74">
        <f t="shared" si="4"/>
        <v>46240</v>
      </c>
    </row>
    <row r="38" spans="1:21" s="40" customFormat="1" ht="11.25" hidden="1" x14ac:dyDescent="0.2">
      <c r="A38" s="35" t="s">
        <v>85</v>
      </c>
      <c r="B38" s="35">
        <v>46073</v>
      </c>
      <c r="C38" s="35"/>
      <c r="D38" s="36">
        <v>202602025</v>
      </c>
      <c r="E38" s="37" t="s">
        <v>214</v>
      </c>
      <c r="F38" s="37" t="s">
        <v>215</v>
      </c>
      <c r="G38" s="38" t="s">
        <v>65</v>
      </c>
      <c r="H38" s="39">
        <v>7</v>
      </c>
      <c r="I38" s="40" t="s">
        <v>88</v>
      </c>
      <c r="J38" s="38">
        <v>46068</v>
      </c>
      <c r="K38" s="44">
        <v>39275.599999999999</v>
      </c>
      <c r="L38" s="42" t="s">
        <v>20</v>
      </c>
      <c r="M38" s="18"/>
      <c r="N38" s="44">
        <v>39275.599999999999</v>
      </c>
      <c r="O38" s="7"/>
      <c r="P38" s="21">
        <v>46076</v>
      </c>
      <c r="Q38" s="43">
        <f t="shared" si="5"/>
        <v>3</v>
      </c>
      <c r="R38" s="21">
        <v>46070</v>
      </c>
      <c r="S38" s="26">
        <f t="shared" si="3"/>
        <v>3</v>
      </c>
      <c r="T38" s="29" t="str" cm="1">
        <f t="array" aca="1" ref="T38" ca="1">IFERROR(ROUND(CENTILE.SI.ENS($Q$2:$Q$2202,0.5,$E$2:$E$2202,E38,$Q$2:$Q$2202,"&gt;0"),0),"N/D")</f>
        <v>N/D</v>
      </c>
      <c r="U38" s="74">
        <f t="shared" si="4"/>
        <v>46077</v>
      </c>
    </row>
    <row r="39" spans="1:21" s="40" customFormat="1" ht="11.25" hidden="1" x14ac:dyDescent="0.2">
      <c r="A39" s="35" t="s">
        <v>18</v>
      </c>
      <c r="B39" s="35">
        <v>46064</v>
      </c>
      <c r="C39" s="35"/>
      <c r="D39" s="36">
        <v>5</v>
      </c>
      <c r="E39" s="37" t="s">
        <v>126</v>
      </c>
      <c r="F39" s="37" t="s">
        <v>127</v>
      </c>
      <c r="G39" s="38" t="s">
        <v>19</v>
      </c>
      <c r="H39" s="39">
        <v>30</v>
      </c>
      <c r="I39" s="40" t="s">
        <v>128</v>
      </c>
      <c r="J39" s="38">
        <v>46035</v>
      </c>
      <c r="K39" s="44">
        <v>932.65</v>
      </c>
      <c r="L39" s="42" t="s">
        <v>34</v>
      </c>
      <c r="M39" s="18"/>
      <c r="N39" s="44">
        <v>932.65</v>
      </c>
      <c r="O39" s="7"/>
      <c r="P39" s="21">
        <v>46066</v>
      </c>
      <c r="Q39" s="43">
        <f t="shared" si="5"/>
        <v>2</v>
      </c>
      <c r="R39" s="21">
        <v>46066</v>
      </c>
      <c r="S39" s="26">
        <f t="shared" si="3"/>
        <v>2</v>
      </c>
      <c r="T39" s="29" t="str" cm="1">
        <f t="array" aca="1" ref="T39" ca="1">IFERROR(ROUND(CENTILE.SI.ENS($Q$2:$Q$2202,0.5,$E$2:$E$2202,E39,$Q$2:$Q$2202,"&gt;0"),0),"N/D")</f>
        <v>N/D</v>
      </c>
      <c r="U39" s="74">
        <f t="shared" si="4"/>
        <v>46067</v>
      </c>
    </row>
    <row r="40" spans="1:21" s="40" customFormat="1" hidden="1" x14ac:dyDescent="0.2">
      <c r="A40" s="5" t="s">
        <v>58</v>
      </c>
      <c r="B40" s="5">
        <v>46210</v>
      </c>
      <c r="C40" s="5"/>
      <c r="D40" s="6">
        <v>202607020</v>
      </c>
      <c r="E40" s="7" t="s">
        <v>509</v>
      </c>
      <c r="F40" s="7" t="s">
        <v>510</v>
      </c>
      <c r="G40" s="8" t="s">
        <v>19</v>
      </c>
      <c r="H40" s="9" t="s">
        <v>208</v>
      </c>
      <c r="I40" s="7" t="s">
        <v>511</v>
      </c>
      <c r="J40" s="13">
        <v>46215</v>
      </c>
      <c r="K40" s="14">
        <v>209185.41</v>
      </c>
      <c r="L40" s="15" t="s">
        <v>20</v>
      </c>
      <c r="M40" s="16"/>
      <c r="N40" s="44">
        <v>210300</v>
      </c>
      <c r="O40" s="17" t="s">
        <v>512</v>
      </c>
      <c r="P40" s="21">
        <v>46210</v>
      </c>
      <c r="Q40" s="43">
        <f t="shared" si="5"/>
        <v>0</v>
      </c>
      <c r="R40" s="22">
        <v>46229</v>
      </c>
      <c r="S40" s="26">
        <f t="shared" si="3"/>
        <v>0</v>
      </c>
      <c r="T40" s="29" t="str" cm="1">
        <f t="array" aca="1" ref="T40" ca="1">IFERROR(ROUND(CENTILE.SI.ENS($Q$2:$Q$2202,0.5,$E$2:$E$2202,E40,$Q$2:$Q$2202,"&gt;0"),0),"N/D")</f>
        <v>N/D</v>
      </c>
      <c r="U40" s="74">
        <f t="shared" si="4"/>
        <v>46210</v>
      </c>
    </row>
    <row r="41" spans="1:21" s="40" customFormat="1" ht="11.25" x14ac:dyDescent="0.2">
      <c r="A41" s="5" t="s">
        <v>55</v>
      </c>
      <c r="B41" s="5">
        <v>46212</v>
      </c>
      <c r="C41" s="5">
        <v>46217</v>
      </c>
      <c r="D41" s="6">
        <v>49</v>
      </c>
      <c r="E41" s="7" t="s">
        <v>72</v>
      </c>
      <c r="F41" s="7" t="s">
        <v>329</v>
      </c>
      <c r="G41" s="8" t="s">
        <v>32</v>
      </c>
      <c r="H41" s="9" t="s">
        <v>137</v>
      </c>
      <c r="I41" s="7" t="s">
        <v>37</v>
      </c>
      <c r="J41" s="13">
        <v>46212</v>
      </c>
      <c r="K41" s="14">
        <v>15498</v>
      </c>
      <c r="L41" s="15" t="s">
        <v>34</v>
      </c>
      <c r="M41" s="18"/>
      <c r="N41" s="14"/>
      <c r="O41" s="7"/>
      <c r="P41" s="21"/>
      <c r="Q41" s="43" t="str">
        <f t="shared" si="5"/>
        <v>En attente paiement</v>
      </c>
      <c r="R41" s="22">
        <v>46244</v>
      </c>
      <c r="S41" s="26">
        <f t="shared" si="3"/>
        <v>36</v>
      </c>
      <c r="T41" s="29" t="str" cm="1">
        <f t="array" aca="1" ref="T41" ca="1">IFERROR(ROUND(CENTILE.SI.ENS($Q$2:$Q$2202,0.5,$E$2:$E$2202,E41,$Q$2:$Q$2202,"&gt;0"),0),"N/D")</f>
        <v>N/D</v>
      </c>
      <c r="U41" s="74">
        <f t="shared" si="4"/>
        <v>46255</v>
      </c>
    </row>
    <row r="42" spans="1:21" s="40" customFormat="1" ht="14.25" customHeight="1" x14ac:dyDescent="0.2">
      <c r="A42" s="5"/>
      <c r="B42" s="5">
        <v>46217</v>
      </c>
      <c r="C42" s="5">
        <v>46211</v>
      </c>
      <c r="D42" s="6">
        <v>202607011</v>
      </c>
      <c r="E42" s="7" t="s">
        <v>28</v>
      </c>
      <c r="F42" s="7"/>
      <c r="G42" s="8" t="s">
        <v>22</v>
      </c>
      <c r="H42" s="9">
        <v>7</v>
      </c>
      <c r="I42" s="7"/>
      <c r="J42" s="13">
        <v>46211</v>
      </c>
      <c r="K42" s="14">
        <v>4940.68</v>
      </c>
      <c r="L42" s="15" t="s">
        <v>20</v>
      </c>
      <c r="M42" s="87"/>
      <c r="N42" s="14"/>
      <c r="O42" s="7" t="s">
        <v>455</v>
      </c>
      <c r="P42" s="21"/>
      <c r="Q42" s="43" t="str">
        <f t="shared" si="5"/>
        <v>En attente paiement</v>
      </c>
      <c r="R42" s="22"/>
      <c r="S42" s="26">
        <f t="shared" si="3"/>
        <v>35</v>
      </c>
      <c r="T42" s="29" t="str" cm="1">
        <f t="array" aca="1" ref="T42" ca="1">IFERROR(ROUND(CENTILE.SI.ENS($Q$2:$Q$2202,0.5,$E$2:$E$2202,E42,$Q$2:$Q$2202,"&gt;0"),0),"N/D")</f>
        <v>N/D</v>
      </c>
      <c r="U42" s="74">
        <f t="shared" si="4"/>
        <v>46259</v>
      </c>
    </row>
    <row r="43" spans="1:21" s="75" customFormat="1" ht="11.25" hidden="1" x14ac:dyDescent="0.2">
      <c r="A43" s="5" t="s">
        <v>268</v>
      </c>
      <c r="B43" s="5">
        <v>46112</v>
      </c>
      <c r="C43" s="5"/>
      <c r="D43" s="6">
        <v>202603050</v>
      </c>
      <c r="E43" s="7" t="s">
        <v>319</v>
      </c>
      <c r="F43" s="7" t="s">
        <v>354</v>
      </c>
      <c r="G43" s="8" t="s">
        <v>22</v>
      </c>
      <c r="H43" s="9" t="s">
        <v>208</v>
      </c>
      <c r="I43" s="10" t="s">
        <v>355</v>
      </c>
      <c r="J43" s="13">
        <v>46112</v>
      </c>
      <c r="K43" s="14">
        <v>153650</v>
      </c>
      <c r="L43" s="15" t="s">
        <v>20</v>
      </c>
      <c r="M43" s="10"/>
      <c r="N43" s="44">
        <v>219646</v>
      </c>
      <c r="O43" s="7" t="s">
        <v>356</v>
      </c>
      <c r="P43" s="21">
        <v>46112</v>
      </c>
      <c r="Q43" s="43">
        <f t="shared" si="5"/>
        <v>0</v>
      </c>
      <c r="R43" s="21">
        <v>46112</v>
      </c>
      <c r="S43" s="26">
        <f t="shared" si="3"/>
        <v>0</v>
      </c>
      <c r="T43" s="29" t="str" cm="1">
        <f t="array" aca="1" ref="T43" ca="1">IFERROR(ROUND(CENTILE.SI.ENS($Q$2:$Q$2202,0.5,$E$2:$E$2202,E43,$Q$2:$Q$2202,"&gt;0"),0),"N/D")</f>
        <v>N/D</v>
      </c>
      <c r="U43" s="74">
        <f t="shared" si="4"/>
        <v>46111</v>
      </c>
    </row>
    <row r="44" spans="1:21" s="75" customFormat="1" ht="11.25" hidden="1" x14ac:dyDescent="0.2">
      <c r="A44" s="5" t="s">
        <v>268</v>
      </c>
      <c r="B44" s="5">
        <v>46133</v>
      </c>
      <c r="C44" s="5">
        <v>46129</v>
      </c>
      <c r="D44" s="6">
        <v>30</v>
      </c>
      <c r="E44" s="7" t="s">
        <v>319</v>
      </c>
      <c r="F44" s="7" t="s">
        <v>364</v>
      </c>
      <c r="G44" s="8" t="s">
        <v>22</v>
      </c>
      <c r="H44" s="9">
        <v>21</v>
      </c>
      <c r="I44" s="7" t="s">
        <v>178</v>
      </c>
      <c r="J44" s="13">
        <v>46113</v>
      </c>
      <c r="K44" s="24">
        <v>728840.77</v>
      </c>
      <c r="L44" s="15" t="s">
        <v>20</v>
      </c>
      <c r="M44" s="18">
        <v>46149</v>
      </c>
      <c r="N44" s="44"/>
      <c r="O44" s="7"/>
      <c r="P44" s="21">
        <v>46133</v>
      </c>
      <c r="Q44" s="43">
        <f t="shared" si="5"/>
        <v>0</v>
      </c>
      <c r="R44" s="21">
        <v>46139</v>
      </c>
      <c r="S44" s="26">
        <f t="shared" si="3"/>
        <v>0</v>
      </c>
      <c r="T44" s="29" t="str" cm="1">
        <f t="array" aca="1" ref="T44" ca="1">IFERROR(ROUND(CENTILE.SI.ENS($Q$2:$Q$2202,0.5,$E$2:$E$2202,E44,$Q$2:$Q$2202,"&gt;0"),0),"N/D")</f>
        <v>N/D</v>
      </c>
      <c r="U44" s="74">
        <f t="shared" si="4"/>
        <v>46132</v>
      </c>
    </row>
    <row r="45" spans="1:21" s="40" customFormat="1" ht="11.25" hidden="1" x14ac:dyDescent="0.2">
      <c r="A45" s="5" t="s">
        <v>268</v>
      </c>
      <c r="B45" s="5">
        <v>46133</v>
      </c>
      <c r="C45" s="5"/>
      <c r="D45" s="6">
        <v>202604033</v>
      </c>
      <c r="E45" s="7" t="s">
        <v>319</v>
      </c>
      <c r="F45" s="7" t="s">
        <v>376</v>
      </c>
      <c r="G45" s="8" t="s">
        <v>131</v>
      </c>
      <c r="H45" s="9">
        <v>2</v>
      </c>
      <c r="I45" s="7" t="s">
        <v>377</v>
      </c>
      <c r="J45" s="13">
        <v>46131</v>
      </c>
      <c r="K45" s="14">
        <v>487674.72</v>
      </c>
      <c r="L45" s="15" t="s">
        <v>20</v>
      </c>
      <c r="M45" s="18"/>
      <c r="N45" s="44"/>
      <c r="O45" s="7"/>
      <c r="P45" s="21">
        <v>46136</v>
      </c>
      <c r="Q45" s="43">
        <f t="shared" si="5"/>
        <v>3</v>
      </c>
      <c r="R45" s="21">
        <v>46139</v>
      </c>
      <c r="S45" s="26">
        <f t="shared" si="3"/>
        <v>0</v>
      </c>
      <c r="T45" s="29" t="str" cm="1">
        <f t="array" aca="1" ref="T45" ca="1">IFERROR(ROUND(CENTILE.SI.ENS($Q$2:$Q$2202,0.5,$E$2:$E$2202,E45,$Q$2:$Q$2202,"&gt;0"),0),"N/D")</f>
        <v>N/D</v>
      </c>
      <c r="U45" s="74">
        <f t="shared" si="4"/>
        <v>46132</v>
      </c>
    </row>
    <row r="46" spans="1:21" s="40" customFormat="1" ht="11.25" hidden="1" x14ac:dyDescent="0.2">
      <c r="A46" s="5" t="s">
        <v>268</v>
      </c>
      <c r="B46" s="5">
        <v>46136</v>
      </c>
      <c r="C46" s="5"/>
      <c r="D46" s="6">
        <v>24</v>
      </c>
      <c r="E46" s="7" t="s">
        <v>319</v>
      </c>
      <c r="F46" s="7" t="s">
        <v>320</v>
      </c>
      <c r="G46" s="8" t="s">
        <v>22</v>
      </c>
      <c r="H46" s="9">
        <v>30</v>
      </c>
      <c r="I46" s="7" t="s">
        <v>148</v>
      </c>
      <c r="J46" s="13">
        <v>46109</v>
      </c>
      <c r="K46" s="14">
        <v>49900</v>
      </c>
      <c r="L46" s="15" t="s">
        <v>20</v>
      </c>
      <c r="M46" s="18"/>
      <c r="N46" s="44"/>
      <c r="O46" s="7"/>
      <c r="P46" s="21">
        <v>46133</v>
      </c>
      <c r="Q46" s="43">
        <f t="shared" si="5"/>
        <v>-3</v>
      </c>
      <c r="R46" s="21">
        <v>46133</v>
      </c>
      <c r="S46" s="26">
        <f t="shared" si="3"/>
        <v>0</v>
      </c>
      <c r="T46" s="29" t="str" cm="1">
        <f t="array" aca="1" ref="T46" ca="1">IFERROR(ROUND(CENTILE.SI.ENS($Q$2:$Q$2202,0.5,$E$2:$E$2202,E46,$Q$2:$Q$2202,"&gt;0"),0),"N/D")</f>
        <v>N/D</v>
      </c>
      <c r="U46" s="74">
        <f t="shared" si="4"/>
        <v>46135</v>
      </c>
    </row>
    <row r="47" spans="1:21" s="40" customFormat="1" ht="13.5" hidden="1" customHeight="1" x14ac:dyDescent="0.2">
      <c r="A47" s="5" t="s">
        <v>85</v>
      </c>
      <c r="B47" s="5">
        <v>46141</v>
      </c>
      <c r="C47" s="5"/>
      <c r="D47" s="6">
        <v>202603051</v>
      </c>
      <c r="E47" s="7" t="s">
        <v>319</v>
      </c>
      <c r="F47" s="7" t="s">
        <v>333</v>
      </c>
      <c r="G47" s="8" t="s">
        <v>22</v>
      </c>
      <c r="H47" s="9">
        <v>30</v>
      </c>
      <c r="I47" s="7" t="s">
        <v>334</v>
      </c>
      <c r="J47" s="13">
        <v>46112</v>
      </c>
      <c r="K47" s="14">
        <v>203915</v>
      </c>
      <c r="L47" s="15" t="s">
        <v>20</v>
      </c>
      <c r="M47" s="18"/>
      <c r="N47" s="44"/>
      <c r="O47" s="7"/>
      <c r="P47" s="21">
        <v>46133</v>
      </c>
      <c r="Q47" s="43">
        <f t="shared" si="5"/>
        <v>-8</v>
      </c>
      <c r="R47" s="21">
        <v>46142</v>
      </c>
      <c r="S47" s="26">
        <f t="shared" si="3"/>
        <v>0</v>
      </c>
      <c r="T47" s="29" t="str" cm="1">
        <f t="array" aca="1" ref="T47" ca="1">IFERROR(ROUND(CENTILE.SI.ENS($Q$2:$Q$2202,0.5,$E$2:$E$2202,E47,$Q$2:$Q$2202,"&gt;0"),0),"N/D")</f>
        <v>N/D</v>
      </c>
      <c r="U47" s="74">
        <f t="shared" si="4"/>
        <v>46140</v>
      </c>
    </row>
    <row r="48" spans="1:21" s="40" customFormat="1" ht="14.25" hidden="1" customHeight="1" x14ac:dyDescent="0.2">
      <c r="A48" s="5" t="s">
        <v>268</v>
      </c>
      <c r="B48" s="5">
        <v>46150</v>
      </c>
      <c r="C48" s="5"/>
      <c r="D48" s="6">
        <v>202604020</v>
      </c>
      <c r="E48" s="7" t="s">
        <v>319</v>
      </c>
      <c r="F48" s="7" t="s">
        <v>365</v>
      </c>
      <c r="G48" s="8" t="s">
        <v>131</v>
      </c>
      <c r="H48" s="9">
        <v>30</v>
      </c>
      <c r="I48" s="7" t="s">
        <v>322</v>
      </c>
      <c r="J48" s="13">
        <v>46123</v>
      </c>
      <c r="K48" s="14">
        <v>1359000</v>
      </c>
      <c r="L48" s="15" t="s">
        <v>20</v>
      </c>
      <c r="M48" s="18"/>
      <c r="N48" s="44"/>
      <c r="O48" s="7"/>
      <c r="P48" s="21">
        <v>46149</v>
      </c>
      <c r="Q48" s="43">
        <f t="shared" si="5"/>
        <v>-1</v>
      </c>
      <c r="R48" s="22">
        <v>46153</v>
      </c>
      <c r="S48" s="26">
        <f t="shared" si="3"/>
        <v>0</v>
      </c>
      <c r="T48" s="29" t="str" cm="1">
        <f t="array" aca="1" ref="T48" ca="1">IFERROR(ROUND(CENTILE.SI.ENS($Q$2:$Q$2202,0.5,$E$2:$E$2202,E48,$Q$2:$Q$2202,"&gt;0"),0),"N/D")</f>
        <v>N/D</v>
      </c>
      <c r="U48" s="74">
        <f t="shared" si="4"/>
        <v>46149</v>
      </c>
    </row>
    <row r="49" spans="1:21" s="40" customFormat="1" ht="14.25" hidden="1" customHeight="1" x14ac:dyDescent="0.2">
      <c r="A49" s="5" t="s">
        <v>268</v>
      </c>
      <c r="B49" s="5">
        <v>46150</v>
      </c>
      <c r="C49" s="5"/>
      <c r="D49" s="6">
        <v>202605014</v>
      </c>
      <c r="E49" s="7" t="s">
        <v>319</v>
      </c>
      <c r="F49" s="7" t="s">
        <v>416</v>
      </c>
      <c r="G49" s="8" t="s">
        <v>131</v>
      </c>
      <c r="H49" s="9" t="s">
        <v>208</v>
      </c>
      <c r="I49" s="10" t="s">
        <v>417</v>
      </c>
      <c r="J49" s="13">
        <v>46151</v>
      </c>
      <c r="K49" s="14">
        <f>232800</f>
        <v>232800</v>
      </c>
      <c r="L49" s="15" t="s">
        <v>20</v>
      </c>
      <c r="M49" s="18"/>
      <c r="N49" s="44">
        <v>177364.5</v>
      </c>
      <c r="O49" s="7"/>
      <c r="P49" s="21">
        <v>46153</v>
      </c>
      <c r="Q49" s="43">
        <f t="shared" si="5"/>
        <v>3</v>
      </c>
      <c r="R49" s="22" t="s">
        <v>424</v>
      </c>
      <c r="S49" s="26">
        <f t="shared" si="3"/>
        <v>0</v>
      </c>
      <c r="T49" s="29" t="str" cm="1">
        <f t="array" aca="1" ref="T49" ca="1">IFERROR(ROUND(CENTILE.SI.ENS($Q$2:$Q$2202,0.5,$E$2:$E$2202,E49,$Q$2:$Q$2202,"&gt;0"),0),"N/D")</f>
        <v>N/D</v>
      </c>
      <c r="U49" s="74">
        <f t="shared" si="4"/>
        <v>46149</v>
      </c>
    </row>
    <row r="50" spans="1:21" s="40" customFormat="1" ht="14.25" hidden="1" customHeight="1" x14ac:dyDescent="0.2">
      <c r="A50" s="5" t="s">
        <v>268</v>
      </c>
      <c r="B50" s="5">
        <v>46155</v>
      </c>
      <c r="C50" s="5"/>
      <c r="D50" s="6">
        <v>202605006</v>
      </c>
      <c r="E50" s="7" t="s">
        <v>319</v>
      </c>
      <c r="F50" s="7" t="s">
        <v>408</v>
      </c>
      <c r="G50" s="8" t="s">
        <v>131</v>
      </c>
      <c r="H50" s="9">
        <v>10</v>
      </c>
      <c r="I50" s="7" t="s">
        <v>409</v>
      </c>
      <c r="J50" s="13">
        <v>46146</v>
      </c>
      <c r="K50" s="14">
        <v>1143362.04</v>
      </c>
      <c r="L50" s="15" t="s">
        <v>20</v>
      </c>
      <c r="M50" s="18"/>
      <c r="N50" s="44"/>
      <c r="O50" s="7"/>
      <c r="P50" s="21">
        <v>46149</v>
      </c>
      <c r="Q50" s="43">
        <f t="shared" si="5"/>
        <v>-6</v>
      </c>
      <c r="R50" s="22">
        <v>46155</v>
      </c>
      <c r="S50" s="26">
        <f t="shared" si="3"/>
        <v>0</v>
      </c>
      <c r="T50" s="29" t="str" cm="1">
        <f t="array" aca="1" ref="T50" ca="1">IFERROR(ROUND(CENTILE.SI.ENS($Q$2:$Q$2202,0.5,$E$2:$E$2202,E50,$Q$2:$Q$2202,"&gt;0"),0),"N/D")</f>
        <v>N/D</v>
      </c>
      <c r="U50" s="74">
        <f t="shared" si="4"/>
        <v>46154</v>
      </c>
    </row>
    <row r="51" spans="1:21" s="40" customFormat="1" ht="14.25" hidden="1" customHeight="1" x14ac:dyDescent="0.2">
      <c r="A51" s="5" t="s">
        <v>250</v>
      </c>
      <c r="B51" s="5">
        <v>46196</v>
      </c>
      <c r="C51" s="5"/>
      <c r="D51" s="6">
        <v>202605035</v>
      </c>
      <c r="E51" s="7" t="s">
        <v>319</v>
      </c>
      <c r="F51" s="7" t="s">
        <v>445</v>
      </c>
      <c r="G51" s="8" t="s">
        <v>131</v>
      </c>
      <c r="H51" s="9">
        <v>30</v>
      </c>
      <c r="I51" s="7" t="s">
        <v>246</v>
      </c>
      <c r="J51" s="13">
        <v>46167</v>
      </c>
      <c r="K51" s="14">
        <v>168126.32</v>
      </c>
      <c r="L51" s="15" t="s">
        <v>20</v>
      </c>
      <c r="M51" s="16"/>
      <c r="N51" s="44"/>
      <c r="O51" s="17"/>
      <c r="P51" s="21">
        <v>46197</v>
      </c>
      <c r="Q51" s="43">
        <f t="shared" si="5"/>
        <v>1</v>
      </c>
      <c r="R51" s="22">
        <v>46202</v>
      </c>
      <c r="S51" s="26">
        <f t="shared" si="3"/>
        <v>0</v>
      </c>
      <c r="T51" s="29" t="str" cm="1">
        <f t="array" aca="1" ref="T51" ca="1">IFERROR(ROUND(CENTILE.SI.ENS($Q$2:$Q$2202,0.5,$E$2:$E$2202,E51,$Q$2:$Q$2202,"&gt;0"),0),"N/D")</f>
        <v>N/D</v>
      </c>
      <c r="U51" s="74">
        <f t="shared" si="4"/>
        <v>46195</v>
      </c>
    </row>
    <row r="52" spans="1:21" s="40" customFormat="1" ht="14.25" hidden="1" customHeight="1" x14ac:dyDescent="0.2">
      <c r="A52" s="5" t="s">
        <v>250</v>
      </c>
      <c r="B52" s="5">
        <v>46198</v>
      </c>
      <c r="C52" s="5"/>
      <c r="D52" s="6">
        <v>202605036</v>
      </c>
      <c r="E52" s="7" t="s">
        <v>319</v>
      </c>
      <c r="F52" s="7" t="s">
        <v>446</v>
      </c>
      <c r="G52" s="8" t="s">
        <v>131</v>
      </c>
      <c r="H52" s="9">
        <v>30</v>
      </c>
      <c r="I52" s="7" t="s">
        <v>246</v>
      </c>
      <c r="J52" s="13">
        <v>46169</v>
      </c>
      <c r="K52" s="24">
        <v>295815.96999999997</v>
      </c>
      <c r="L52" s="15" t="s">
        <v>20</v>
      </c>
      <c r="M52" s="16">
        <v>46252</v>
      </c>
      <c r="N52" s="44"/>
      <c r="O52" s="17"/>
      <c r="P52" s="21">
        <v>46197</v>
      </c>
      <c r="Q52" s="43">
        <f t="shared" si="5"/>
        <v>-1</v>
      </c>
      <c r="R52" s="22">
        <v>46211</v>
      </c>
      <c r="S52" s="26">
        <f t="shared" si="3"/>
        <v>0</v>
      </c>
      <c r="T52" s="29" t="str" cm="1">
        <f t="array" aca="1" ref="T52" ca="1">IFERROR(ROUND(CENTILE.SI.ENS($Q$2:$Q$2202,0.5,$E$2:$E$2202,E52,$Q$2:$Q$2202,"&gt;0"),0),"N/D")</f>
        <v>N/D</v>
      </c>
      <c r="U52" s="74">
        <f t="shared" si="4"/>
        <v>46197</v>
      </c>
    </row>
    <row r="53" spans="1:21" s="40" customFormat="1" ht="14.25" hidden="1" customHeight="1" x14ac:dyDescent="0.2">
      <c r="A53" s="5" t="s">
        <v>268</v>
      </c>
      <c r="B53" s="5">
        <v>46198</v>
      </c>
      <c r="C53" s="5"/>
      <c r="D53" s="6">
        <v>202605039</v>
      </c>
      <c r="E53" s="7" t="s">
        <v>319</v>
      </c>
      <c r="F53" s="7" t="s">
        <v>467</v>
      </c>
      <c r="G53" s="8" t="s">
        <v>131</v>
      </c>
      <c r="H53" s="9">
        <v>30</v>
      </c>
      <c r="I53" s="7" t="s">
        <v>288</v>
      </c>
      <c r="J53" s="13">
        <v>46169</v>
      </c>
      <c r="K53" s="14">
        <v>117939.09</v>
      </c>
      <c r="L53" s="15" t="s">
        <v>20</v>
      </c>
      <c r="M53" s="16"/>
      <c r="N53" s="44"/>
      <c r="O53" s="17"/>
      <c r="P53" s="21">
        <v>46197</v>
      </c>
      <c r="Q53" s="43">
        <f t="shared" si="5"/>
        <v>-1</v>
      </c>
      <c r="R53" s="22">
        <v>46202</v>
      </c>
      <c r="S53" s="26">
        <f t="shared" si="3"/>
        <v>0</v>
      </c>
      <c r="T53" s="29" t="str" cm="1">
        <f t="array" aca="1" ref="T53" ca="1">IFERROR(ROUND(CENTILE.SI.ENS($Q$2:$Q$2202,0.5,$E$2:$E$2202,E53,$Q$2:$Q$2202,"&gt;0"),0),"N/D")</f>
        <v>N/D</v>
      </c>
      <c r="U53" s="74">
        <f t="shared" si="4"/>
        <v>46197</v>
      </c>
    </row>
    <row r="54" spans="1:21" s="40" customFormat="1" ht="14.25" hidden="1" customHeight="1" x14ac:dyDescent="0.25">
      <c r="A54" s="5" t="s">
        <v>268</v>
      </c>
      <c r="B54" s="5">
        <v>46220</v>
      </c>
      <c r="C54" s="5"/>
      <c r="D54" s="6">
        <v>202606037</v>
      </c>
      <c r="E54" s="7" t="s">
        <v>319</v>
      </c>
      <c r="F54" s="7" t="s">
        <v>482</v>
      </c>
      <c r="G54" s="8" t="s">
        <v>131</v>
      </c>
      <c r="H54" s="9">
        <v>30</v>
      </c>
      <c r="I54" s="7" t="s">
        <v>483</v>
      </c>
      <c r="J54" s="13">
        <v>46193</v>
      </c>
      <c r="K54" s="14">
        <v>175698.76</v>
      </c>
      <c r="L54" s="15" t="s">
        <v>20</v>
      </c>
      <c r="M54" s="46"/>
      <c r="N54" s="44"/>
      <c r="O54" s="17"/>
      <c r="P54" s="21">
        <v>46230</v>
      </c>
      <c r="Q54" s="43">
        <f t="shared" si="5"/>
        <v>10</v>
      </c>
      <c r="R54" s="22">
        <v>46220</v>
      </c>
      <c r="S54" s="26">
        <f t="shared" si="3"/>
        <v>0</v>
      </c>
      <c r="T54" s="29" t="str" cm="1">
        <f t="array" aca="1" ref="T54" ca="1">IFERROR(ROUND(CENTILE.SI.ENS($Q$2:$Q$2202,0.5,$E$2:$E$2202,E54,$Q$2:$Q$2202,"&gt;0"),0),"N/D")</f>
        <v>N/D</v>
      </c>
      <c r="U54" s="74">
        <f t="shared" si="4"/>
        <v>46219</v>
      </c>
    </row>
    <row r="55" spans="1:21" s="40" customFormat="1" ht="14.25" hidden="1" customHeight="1" x14ac:dyDescent="0.2">
      <c r="A55" s="5" t="s">
        <v>268</v>
      </c>
      <c r="B55" s="5">
        <v>46225</v>
      </c>
      <c r="C55" s="5"/>
      <c r="D55" s="6">
        <v>202606040</v>
      </c>
      <c r="E55" s="7" t="s">
        <v>319</v>
      </c>
      <c r="F55" s="7" t="s">
        <v>445</v>
      </c>
      <c r="G55" s="8" t="s">
        <v>131</v>
      </c>
      <c r="H55" s="9">
        <v>30</v>
      </c>
      <c r="I55" s="7" t="s">
        <v>484</v>
      </c>
      <c r="J55" s="13">
        <v>46196</v>
      </c>
      <c r="K55" s="24">
        <v>144455.60999999999</v>
      </c>
      <c r="L55" s="15" t="s">
        <v>20</v>
      </c>
      <c r="M55" s="16">
        <v>46242</v>
      </c>
      <c r="N55" s="44"/>
      <c r="O55" s="17"/>
      <c r="P55" s="21">
        <v>46230</v>
      </c>
      <c r="Q55" s="43">
        <f t="shared" si="5"/>
        <v>5</v>
      </c>
      <c r="R55" s="22">
        <v>46226</v>
      </c>
      <c r="S55" s="26">
        <f t="shared" si="3"/>
        <v>0</v>
      </c>
      <c r="T55" s="29" t="str" cm="1">
        <f t="array" aca="1" ref="T55" ca="1">IFERROR(ROUND(CENTILE.SI.ENS($Q$2:$Q$2202,0.5,$E$2:$E$2202,E55,$Q$2:$Q$2202,"&gt;0"),0),"N/D")</f>
        <v>N/D</v>
      </c>
      <c r="U55" s="74">
        <f t="shared" si="4"/>
        <v>46224</v>
      </c>
    </row>
    <row r="56" spans="1:21" s="40" customFormat="1" ht="14.25" hidden="1" customHeight="1" x14ac:dyDescent="0.2">
      <c r="A56" s="5" t="s">
        <v>268</v>
      </c>
      <c r="B56" s="5">
        <v>46226</v>
      </c>
      <c r="C56" s="5"/>
      <c r="D56" s="6">
        <v>202606045</v>
      </c>
      <c r="E56" s="7" t="s">
        <v>319</v>
      </c>
      <c r="F56" s="7" t="s">
        <v>488</v>
      </c>
      <c r="G56" s="8" t="s">
        <v>131</v>
      </c>
      <c r="H56" s="9">
        <v>30</v>
      </c>
      <c r="I56" s="7" t="s">
        <v>398</v>
      </c>
      <c r="J56" s="13">
        <v>46197</v>
      </c>
      <c r="K56" s="24">
        <v>132018.76999999999</v>
      </c>
      <c r="L56" s="15" t="s">
        <v>20</v>
      </c>
      <c r="M56" s="16">
        <v>46243</v>
      </c>
      <c r="N56" s="44"/>
      <c r="O56" s="17"/>
      <c r="P56" s="21">
        <v>46230</v>
      </c>
      <c r="Q56" s="43">
        <f t="shared" si="5"/>
        <v>4</v>
      </c>
      <c r="R56" s="22">
        <v>46230</v>
      </c>
      <c r="S56" s="26">
        <f t="shared" si="3"/>
        <v>0</v>
      </c>
      <c r="T56" s="29" t="str" cm="1">
        <f t="array" aca="1" ref="T56" ca="1">IFERROR(ROUND(CENTILE.SI.ENS($Q$2:$Q$2202,0.5,$E$2:$E$2202,E56,$Q$2:$Q$2202,"&gt;0"),0),"N/D")</f>
        <v>N/D</v>
      </c>
      <c r="U56" s="74">
        <f t="shared" si="4"/>
        <v>46225</v>
      </c>
    </row>
    <row r="57" spans="1:21" s="40" customFormat="1" ht="14.25" hidden="1" customHeight="1" x14ac:dyDescent="0.2">
      <c r="A57" s="5" t="s">
        <v>268</v>
      </c>
      <c r="B57" s="5">
        <v>46231</v>
      </c>
      <c r="C57" s="5"/>
      <c r="D57" s="6">
        <v>202606046</v>
      </c>
      <c r="E57" s="7" t="s">
        <v>319</v>
      </c>
      <c r="F57" s="7" t="s">
        <v>486</v>
      </c>
      <c r="G57" s="8" t="s">
        <v>131</v>
      </c>
      <c r="H57" s="9">
        <v>30</v>
      </c>
      <c r="I57" s="7" t="s">
        <v>487</v>
      </c>
      <c r="J57" s="13">
        <v>46202</v>
      </c>
      <c r="K57" s="14">
        <v>217378.16</v>
      </c>
      <c r="L57" s="15" t="s">
        <v>20</v>
      </c>
      <c r="M57" s="16"/>
      <c r="N57" s="44"/>
      <c r="O57" s="17"/>
      <c r="P57" s="21">
        <v>46230</v>
      </c>
      <c r="Q57" s="43">
        <f t="shared" si="5"/>
        <v>-1</v>
      </c>
      <c r="R57" s="22">
        <v>46232</v>
      </c>
      <c r="S57" s="26">
        <f t="shared" si="3"/>
        <v>0</v>
      </c>
      <c r="T57" s="29" t="str" cm="1">
        <f t="array" aca="1" ref="T57" ca="1">IFERROR(ROUND(CENTILE.SI.ENS($Q$2:$Q$2202,0.5,$E$2:$E$2202,E57,$Q$2:$Q$2202,"&gt;0"),0),"N/D")</f>
        <v>N/D</v>
      </c>
      <c r="U57" s="74">
        <f t="shared" si="4"/>
        <v>46230</v>
      </c>
    </row>
    <row r="58" spans="1:21" s="40" customFormat="1" ht="14.25" hidden="1" customHeight="1" x14ac:dyDescent="0.2">
      <c r="A58" s="5" t="s">
        <v>85</v>
      </c>
      <c r="B58" s="5">
        <v>46233</v>
      </c>
      <c r="C58" s="5"/>
      <c r="D58" s="6">
        <v>202607051</v>
      </c>
      <c r="E58" s="7" t="s">
        <v>319</v>
      </c>
      <c r="F58" s="7" t="s">
        <v>538</v>
      </c>
      <c r="G58" s="8" t="s">
        <v>131</v>
      </c>
      <c r="H58" s="9">
        <v>10</v>
      </c>
      <c r="I58" s="7" t="s">
        <v>539</v>
      </c>
      <c r="J58" s="13">
        <v>46224</v>
      </c>
      <c r="K58" s="24">
        <v>478832.6</v>
      </c>
      <c r="L58" s="15" t="s">
        <v>34</v>
      </c>
      <c r="M58" s="16">
        <v>46265</v>
      </c>
      <c r="N58" s="44"/>
      <c r="O58" s="17"/>
      <c r="P58" s="21">
        <v>46233</v>
      </c>
      <c r="Q58" s="43">
        <f t="shared" si="5"/>
        <v>0</v>
      </c>
      <c r="R58" s="22">
        <v>46240</v>
      </c>
      <c r="S58" s="26">
        <f t="shared" si="3"/>
        <v>0</v>
      </c>
      <c r="T58" s="29" t="str" cm="1">
        <f t="array" aca="1" ref="T58" ca="1">IFERROR(ROUND(CENTILE.SI.ENS($Q$2:$Q$2202,0.5,$E$2:$E$2202,E58,$Q$2:$Q$2202,"&gt;0"),0),"N/D")</f>
        <v>N/D</v>
      </c>
      <c r="U58" s="74">
        <f t="shared" si="4"/>
        <v>46232</v>
      </c>
    </row>
    <row r="59" spans="1:21" s="40" customFormat="1" ht="14.25" hidden="1" customHeight="1" x14ac:dyDescent="0.2">
      <c r="A59" s="5" t="s">
        <v>268</v>
      </c>
      <c r="B59" s="5">
        <v>46241</v>
      </c>
      <c r="C59" s="5"/>
      <c r="D59" s="6">
        <v>202607016</v>
      </c>
      <c r="E59" s="7" t="s">
        <v>319</v>
      </c>
      <c r="F59" s="7" t="s">
        <v>445</v>
      </c>
      <c r="G59" s="8" t="s">
        <v>131</v>
      </c>
      <c r="H59" s="9">
        <v>30</v>
      </c>
      <c r="I59" s="7" t="s">
        <v>484</v>
      </c>
      <c r="J59" s="13">
        <v>46212</v>
      </c>
      <c r="K59" s="14">
        <v>73161.039999999994</v>
      </c>
      <c r="L59" s="15" t="s">
        <v>20</v>
      </c>
      <c r="M59" s="16"/>
      <c r="N59" s="44"/>
      <c r="O59" s="17"/>
      <c r="P59" s="21">
        <v>46230</v>
      </c>
      <c r="Q59" s="43">
        <f t="shared" si="5"/>
        <v>-11</v>
      </c>
      <c r="R59" s="22">
        <v>46244</v>
      </c>
      <c r="S59" s="26">
        <f t="shared" si="3"/>
        <v>0</v>
      </c>
      <c r="T59" s="29" t="str" cm="1">
        <f t="array" aca="1" ref="T59" ca="1">IFERROR(ROUND(CENTILE.SI.ENS($Q$2:$Q$2202,0.5,$E$2:$E$2202,E59,$Q$2:$Q$2202,"&gt;0"),0),"N/D")</f>
        <v>N/D</v>
      </c>
      <c r="U59" s="74">
        <f t="shared" si="4"/>
        <v>46240</v>
      </c>
    </row>
    <row r="60" spans="1:21" s="40" customFormat="1" ht="14.25" hidden="1" customHeight="1" x14ac:dyDescent="0.2">
      <c r="A60" s="5" t="s">
        <v>268</v>
      </c>
      <c r="B60" s="5">
        <v>46241</v>
      </c>
      <c r="C60" s="5"/>
      <c r="D60" s="6">
        <v>202607026</v>
      </c>
      <c r="E60" s="7" t="s">
        <v>319</v>
      </c>
      <c r="F60" s="7" t="s">
        <v>519</v>
      </c>
      <c r="G60" s="8" t="s">
        <v>131</v>
      </c>
      <c r="H60" s="9">
        <v>30</v>
      </c>
      <c r="I60" s="7" t="s">
        <v>520</v>
      </c>
      <c r="J60" s="13">
        <v>46213</v>
      </c>
      <c r="K60" s="14">
        <v>484568.49</v>
      </c>
      <c r="L60" s="15" t="s">
        <v>20</v>
      </c>
      <c r="M60" s="16"/>
      <c r="N60" s="44"/>
      <c r="O60" s="17"/>
      <c r="P60" s="21">
        <v>46245</v>
      </c>
      <c r="Q60" s="43">
        <f t="shared" si="5"/>
        <v>4</v>
      </c>
      <c r="R60" s="22">
        <v>46251</v>
      </c>
      <c r="S60" s="26">
        <f t="shared" si="3"/>
        <v>0</v>
      </c>
      <c r="T60" s="29" t="str" cm="1">
        <f t="array" aca="1" ref="T60" ca="1">IFERROR(ROUND(CENTILE.SI.ENS($Q$2:$Q$2202,0.5,$E$2:$E$2202,E60,$Q$2:$Q$2202,"&gt;0"),0),"N/D")</f>
        <v>N/D</v>
      </c>
      <c r="U60" s="74">
        <f t="shared" si="4"/>
        <v>46240</v>
      </c>
    </row>
    <row r="61" spans="1:21" s="40" customFormat="1" ht="14.25" hidden="1" customHeight="1" x14ac:dyDescent="0.2">
      <c r="A61" s="5" t="s">
        <v>268</v>
      </c>
      <c r="B61" s="5">
        <v>46241</v>
      </c>
      <c r="C61" s="5"/>
      <c r="D61" s="6">
        <v>202607036</v>
      </c>
      <c r="E61" s="7" t="s">
        <v>319</v>
      </c>
      <c r="F61" s="7" t="s">
        <v>526</v>
      </c>
      <c r="G61" s="8" t="s">
        <v>131</v>
      </c>
      <c r="H61" s="9">
        <v>15</v>
      </c>
      <c r="I61" s="7" t="s">
        <v>527</v>
      </c>
      <c r="J61" s="13">
        <v>46219</v>
      </c>
      <c r="K61" s="14">
        <v>40923.42</v>
      </c>
      <c r="L61" s="15" t="s">
        <v>20</v>
      </c>
      <c r="M61" s="16"/>
      <c r="N61" s="44"/>
      <c r="O61" s="17"/>
      <c r="P61" s="21">
        <v>46240</v>
      </c>
      <c r="Q61" s="43">
        <f t="shared" si="5"/>
        <v>-1</v>
      </c>
      <c r="R61" s="22">
        <v>46233</v>
      </c>
      <c r="S61" s="26">
        <f t="shared" si="3"/>
        <v>0</v>
      </c>
      <c r="T61" s="29" t="str" cm="1">
        <f t="array" aca="1" ref="T61" ca="1">IFERROR(ROUND(CENTILE.SI.ENS($Q$2:$Q$2202,0.5,$E$2:$E$2202,E61,$Q$2:$Q$2202,"&gt;0"),0),"N/D")</f>
        <v>N/D</v>
      </c>
      <c r="U61" s="74">
        <f t="shared" si="4"/>
        <v>46240</v>
      </c>
    </row>
    <row r="62" spans="1:21" s="40" customFormat="1" ht="14.25" hidden="1" customHeight="1" x14ac:dyDescent="0.2">
      <c r="A62" s="5" t="s">
        <v>268</v>
      </c>
      <c r="B62" s="5">
        <v>46247</v>
      </c>
      <c r="C62" s="5"/>
      <c r="D62" s="6">
        <v>202607068</v>
      </c>
      <c r="E62" s="7" t="s">
        <v>319</v>
      </c>
      <c r="F62" s="7" t="s">
        <v>556</v>
      </c>
      <c r="G62" s="8" t="s">
        <v>131</v>
      </c>
      <c r="H62" s="9">
        <v>21</v>
      </c>
      <c r="I62" s="7" t="s">
        <v>249</v>
      </c>
      <c r="J62" s="13">
        <v>46227</v>
      </c>
      <c r="K62" s="14">
        <v>26930.95</v>
      </c>
      <c r="L62" s="15" t="s">
        <v>20</v>
      </c>
      <c r="M62" s="16"/>
      <c r="N62" s="44"/>
      <c r="O62" s="17"/>
      <c r="P62" s="21">
        <v>46248</v>
      </c>
      <c r="Q62" s="43">
        <f t="shared" si="5"/>
        <v>1</v>
      </c>
      <c r="R62" s="22"/>
      <c r="S62" s="26">
        <f t="shared" si="3"/>
        <v>0</v>
      </c>
      <c r="T62" s="29" t="str" cm="1">
        <f t="array" aca="1" ref="T62" ca="1">IFERROR(ROUND(CENTILE.SI.ENS($Q$2:$Q$2202,0.5,$E$2:$E$2202,E62,$Q$2:$Q$2202,"&gt;0"),0),"N/D")</f>
        <v>N/D</v>
      </c>
      <c r="U62" s="74">
        <f t="shared" si="4"/>
        <v>46246</v>
      </c>
    </row>
    <row r="63" spans="1:21" s="40" customFormat="1" ht="14.25" hidden="1" customHeight="1" x14ac:dyDescent="0.2">
      <c r="A63" s="5" t="s">
        <v>268</v>
      </c>
      <c r="B63" s="5">
        <v>46248</v>
      </c>
      <c r="C63" s="5"/>
      <c r="D63" s="6">
        <v>202607065</v>
      </c>
      <c r="E63" s="7" t="s">
        <v>319</v>
      </c>
      <c r="F63" s="7" t="s">
        <v>555</v>
      </c>
      <c r="G63" s="8" t="s">
        <v>131</v>
      </c>
      <c r="H63" s="9">
        <v>21</v>
      </c>
      <c r="I63" s="7" t="s">
        <v>549</v>
      </c>
      <c r="J63" s="13">
        <v>46228</v>
      </c>
      <c r="K63" s="14">
        <v>131144.26</v>
      </c>
      <c r="L63" s="15" t="s">
        <v>20</v>
      </c>
      <c r="M63" s="16"/>
      <c r="N63" s="44"/>
      <c r="O63" s="17"/>
      <c r="P63" s="21">
        <v>46248</v>
      </c>
      <c r="Q63" s="43">
        <f t="shared" si="5"/>
        <v>0</v>
      </c>
      <c r="R63" s="22">
        <v>46248</v>
      </c>
      <c r="S63" s="26">
        <f t="shared" si="3"/>
        <v>0</v>
      </c>
      <c r="T63" s="29" t="str" cm="1">
        <f t="array" aca="1" ref="T63" ca="1">IFERROR(ROUND(CENTILE.SI.ENS($Q$2:$Q$2202,0.5,$E$2:$E$2202,E63,$Q$2:$Q$2202,"&gt;0"),0),"N/D")</f>
        <v>N/D</v>
      </c>
      <c r="U63" s="74">
        <f t="shared" si="4"/>
        <v>46247</v>
      </c>
    </row>
    <row r="64" spans="1:21" s="40" customFormat="1" ht="14.25" hidden="1" customHeight="1" x14ac:dyDescent="0.2">
      <c r="A64" s="5" t="s">
        <v>55</v>
      </c>
      <c r="B64" s="5">
        <v>46220</v>
      </c>
      <c r="C64" s="5"/>
      <c r="D64" s="6">
        <v>202606009</v>
      </c>
      <c r="E64" s="7" t="s">
        <v>36</v>
      </c>
      <c r="F64" s="7" t="s">
        <v>345</v>
      </c>
      <c r="G64" s="8" t="s">
        <v>22</v>
      </c>
      <c r="H64" s="9">
        <v>45</v>
      </c>
      <c r="I64" s="7" t="s">
        <v>451</v>
      </c>
      <c r="J64" s="13">
        <v>46177</v>
      </c>
      <c r="K64" s="24">
        <v>98204.22</v>
      </c>
      <c r="L64" s="15" t="s">
        <v>34</v>
      </c>
      <c r="M64" s="16">
        <v>46226</v>
      </c>
      <c r="N64" s="44"/>
      <c r="O64" s="17"/>
      <c r="P64" s="21">
        <v>46255</v>
      </c>
      <c r="Q64" s="43">
        <f t="shared" si="5"/>
        <v>35</v>
      </c>
      <c r="R64" s="22">
        <v>46197</v>
      </c>
      <c r="S64" s="26">
        <f t="shared" si="3"/>
        <v>22</v>
      </c>
      <c r="T64" s="29" t="str" cm="1">
        <f t="array" aca="1" ref="T64" ca="1">IFERROR(ROUND(CENTILE.SI.ENS($Q$2:$Q$2202,0.5,$E$2:$E$2202,E64,$Q$2:$Q$2202,"&gt;0"),0),"N/D")</f>
        <v>N/D</v>
      </c>
      <c r="U64" s="74">
        <f t="shared" si="4"/>
        <v>46247</v>
      </c>
    </row>
    <row r="65" spans="1:21" s="40" customFormat="1" ht="14.25" customHeight="1" x14ac:dyDescent="0.2">
      <c r="A65" s="5" t="s">
        <v>55</v>
      </c>
      <c r="B65" s="5">
        <v>46224</v>
      </c>
      <c r="C65" s="5"/>
      <c r="D65" s="6">
        <v>52</v>
      </c>
      <c r="E65" s="7" t="s">
        <v>72</v>
      </c>
      <c r="F65" s="7" t="s">
        <v>57</v>
      </c>
      <c r="G65" s="8" t="s">
        <v>32</v>
      </c>
      <c r="H65" s="9" t="s">
        <v>137</v>
      </c>
      <c r="I65" s="7" t="s">
        <v>42</v>
      </c>
      <c r="J65" s="13">
        <v>46224</v>
      </c>
      <c r="K65" s="24">
        <v>242163.66</v>
      </c>
      <c r="L65" s="15" t="s">
        <v>34</v>
      </c>
      <c r="M65" s="18">
        <v>46268</v>
      </c>
      <c r="N65" s="14"/>
      <c r="O65" s="7"/>
      <c r="P65" s="21"/>
      <c r="Q65" s="43" t="str">
        <f t="shared" si="5"/>
        <v>En attente paiement</v>
      </c>
      <c r="R65" s="22"/>
      <c r="S65" s="26">
        <f t="shared" si="3"/>
        <v>36</v>
      </c>
      <c r="T65" s="29" t="str" cm="1">
        <f t="array" aca="1" ref="T65" ca="1">IFERROR(ROUND(CENTILE.SI.ENS($Q$2:$Q$2202,0.5,$E$2:$E$2202,E65,$Q$2:$Q$2202,"&gt;0"),0),"N/D")</f>
        <v>N/D</v>
      </c>
      <c r="U65" s="74">
        <f t="shared" si="4"/>
        <v>46267</v>
      </c>
    </row>
    <row r="66" spans="1:21" s="40" customFormat="1" ht="14.25" customHeight="1" x14ac:dyDescent="0.2">
      <c r="A66" s="5" t="s">
        <v>55</v>
      </c>
      <c r="B66" s="5">
        <v>46224</v>
      </c>
      <c r="C66" s="5">
        <v>46244</v>
      </c>
      <c r="D66" s="6">
        <v>53</v>
      </c>
      <c r="E66" s="7" t="s">
        <v>72</v>
      </c>
      <c r="F66" s="7" t="s">
        <v>57</v>
      </c>
      <c r="G66" s="8" t="s">
        <v>32</v>
      </c>
      <c r="H66" s="9" t="s">
        <v>137</v>
      </c>
      <c r="I66" s="7" t="s">
        <v>42</v>
      </c>
      <c r="J66" s="13">
        <v>46224</v>
      </c>
      <c r="K66" s="14">
        <v>39466.449999999997</v>
      </c>
      <c r="L66" s="15" t="s">
        <v>34</v>
      </c>
      <c r="M66" s="18"/>
      <c r="N66" s="14"/>
      <c r="O66" s="7"/>
      <c r="P66" s="21"/>
      <c r="Q66" s="43" t="str">
        <f t="shared" ref="Q66:Q98" si="6">IF(P66="","En attente paiement",P66-B66)</f>
        <v>En attente paiement</v>
      </c>
      <c r="R66" s="22"/>
      <c r="S66" s="26">
        <f t="shared" ref="S66:S67" si="7">IFERROR(ROUND(AVERAGEIF($E$2:$E$2202,E66,$Q$2:$Q$2202),0),"N/D")</f>
        <v>36</v>
      </c>
      <c r="T66" s="29" t="str" cm="1">
        <f t="array" aca="1" ref="T66" ca="1">IFERROR(ROUND(CENTILE.SI.ENS($Q$2:$Q$2202,0.5,$E$2:$E$2202,E66,$Q$2:$Q$2202,"&gt;0"),0),"N/D")</f>
        <v>N/D</v>
      </c>
      <c r="U66" s="74">
        <f t="shared" ref="U66:U67" si="8">IFERROR(B66+ROUNDUP(AVERAGEIF($E$2:$E$2202,E66,$Q$2:$Q$2202)*1.2,0),"N/D")</f>
        <v>46267</v>
      </c>
    </row>
    <row r="67" spans="1:21" s="40" customFormat="1" ht="14.25" customHeight="1" x14ac:dyDescent="0.2">
      <c r="A67" s="5" t="s">
        <v>58</v>
      </c>
      <c r="B67" s="5">
        <v>46224</v>
      </c>
      <c r="C67" s="5"/>
      <c r="D67" s="6">
        <v>202606013</v>
      </c>
      <c r="E67" s="7" t="s">
        <v>457</v>
      </c>
      <c r="F67" s="7" t="s">
        <v>458</v>
      </c>
      <c r="G67" s="8" t="s">
        <v>22</v>
      </c>
      <c r="H67" s="9">
        <v>45</v>
      </c>
      <c r="I67" s="7" t="s">
        <v>169</v>
      </c>
      <c r="J67" s="13">
        <v>46180</v>
      </c>
      <c r="K67" s="24">
        <v>237540.61</v>
      </c>
      <c r="L67" s="15" t="s">
        <v>20</v>
      </c>
      <c r="M67" s="18">
        <v>46242</v>
      </c>
      <c r="N67" s="14"/>
      <c r="O67" s="7"/>
      <c r="P67" s="21"/>
      <c r="Q67" s="43" t="str">
        <f t="shared" si="6"/>
        <v>En attente paiement</v>
      </c>
      <c r="R67" s="22">
        <v>46196</v>
      </c>
      <c r="S67" s="26" t="str">
        <f t="shared" si="7"/>
        <v>N/D</v>
      </c>
      <c r="T67" s="29" t="str" cm="1">
        <f t="array" aca="1" ref="T67" ca="1">IFERROR(ROUND(CENTILE.SI.ENS($Q$2:$Q$2202,0.5,$E$2:$E$2202,E67,$Q$2:$Q$2202,"&gt;0"),0),"N/D")</f>
        <v>N/D</v>
      </c>
      <c r="U67" s="74" t="str">
        <f t="shared" si="8"/>
        <v>N/D</v>
      </c>
    </row>
    <row r="68" spans="1:21" s="40" customFormat="1" ht="11.25" hidden="1" x14ac:dyDescent="0.2">
      <c r="A68" s="35" t="s">
        <v>18</v>
      </c>
      <c r="B68" s="35">
        <v>46055</v>
      </c>
      <c r="C68" s="35"/>
      <c r="D68" s="36">
        <v>202601006</v>
      </c>
      <c r="E68" s="37" t="s">
        <v>27</v>
      </c>
      <c r="F68" s="37" t="s">
        <v>82</v>
      </c>
      <c r="G68" s="38" t="s">
        <v>22</v>
      </c>
      <c r="H68" s="39">
        <v>30</v>
      </c>
      <c r="I68" s="40" t="s">
        <v>83</v>
      </c>
      <c r="J68" s="38">
        <v>46026</v>
      </c>
      <c r="K68" s="44">
        <v>279560.53000000003</v>
      </c>
      <c r="L68" s="42" t="s">
        <v>20</v>
      </c>
      <c r="M68" s="18"/>
      <c r="N68" s="44">
        <v>279550.53000000003</v>
      </c>
      <c r="O68" s="7"/>
      <c r="P68" s="21">
        <v>46055</v>
      </c>
      <c r="Q68" s="43">
        <f t="shared" si="6"/>
        <v>0</v>
      </c>
      <c r="R68" s="21">
        <v>46056</v>
      </c>
      <c r="S68" s="26">
        <f t="shared" ref="S66:S130" si="9">IFERROR(ROUND(AVERAGEIF($E$2:$E$2202,E68,$Q$2:$Q$2202),0),"N/D")</f>
        <v>0</v>
      </c>
      <c r="T68" s="29" t="str" cm="1">
        <f t="array" aca="1" ref="T68" ca="1">IFERROR(ROUND(CENTILE.SI.ENS($Q$2:$Q$2202,0.5,$E$2:$E$2202,E68,$Q$2:$Q$2202,"&gt;0"),0),"N/D")</f>
        <v>N/D</v>
      </c>
      <c r="U68" s="74">
        <f t="shared" ref="U66:U130" si="10">IFERROR(B68+ROUNDUP(AVERAGEIF($E$2:$E$2202,E68,$Q$2:$Q$2202)*1.2,0),"N/D")</f>
        <v>46056</v>
      </c>
    </row>
    <row r="69" spans="1:21" s="40" customFormat="1" ht="11.25" hidden="1" x14ac:dyDescent="0.2">
      <c r="A69" s="35" t="s">
        <v>18</v>
      </c>
      <c r="B69" s="35">
        <v>46069</v>
      </c>
      <c r="C69" s="35"/>
      <c r="D69" s="36">
        <v>202601029</v>
      </c>
      <c r="E69" s="37" t="s">
        <v>27</v>
      </c>
      <c r="F69" s="37" t="s">
        <v>121</v>
      </c>
      <c r="G69" s="38" t="s">
        <v>22</v>
      </c>
      <c r="H69" s="39">
        <v>30</v>
      </c>
      <c r="I69" s="40" t="s">
        <v>122</v>
      </c>
      <c r="J69" s="38">
        <v>46040</v>
      </c>
      <c r="K69" s="44">
        <v>82840</v>
      </c>
      <c r="L69" s="42" t="s">
        <v>20</v>
      </c>
      <c r="M69" s="18"/>
      <c r="N69" s="44">
        <v>82840</v>
      </c>
      <c r="O69" s="7"/>
      <c r="P69" s="21">
        <v>46070</v>
      </c>
      <c r="Q69" s="43">
        <f t="shared" si="6"/>
        <v>1</v>
      </c>
      <c r="R69" s="21">
        <v>46069</v>
      </c>
      <c r="S69" s="26">
        <f t="shared" si="9"/>
        <v>0</v>
      </c>
      <c r="T69" s="29" t="str" cm="1">
        <f t="array" aca="1" ref="T69" ca="1">IFERROR(ROUND(CENTILE.SI.ENS($Q$2:$Q$2202,0.5,$E$2:$E$2202,E69,$Q$2:$Q$2202,"&gt;0"),0),"N/D")</f>
        <v>N/D</v>
      </c>
      <c r="U69" s="74">
        <f t="shared" si="10"/>
        <v>46070</v>
      </c>
    </row>
    <row r="70" spans="1:21" s="75" customFormat="1" ht="11.25" hidden="1" x14ac:dyDescent="0.2">
      <c r="A70" s="5" t="s">
        <v>18</v>
      </c>
      <c r="B70" s="5">
        <v>46115</v>
      </c>
      <c r="C70" s="5"/>
      <c r="D70" s="6">
        <v>202603014</v>
      </c>
      <c r="E70" s="7" t="s">
        <v>27</v>
      </c>
      <c r="F70" s="7" t="s">
        <v>280</v>
      </c>
      <c r="G70" s="8" t="s">
        <v>22</v>
      </c>
      <c r="H70" s="9">
        <v>30</v>
      </c>
      <c r="I70" s="10" t="s">
        <v>281</v>
      </c>
      <c r="J70" s="13">
        <v>46086</v>
      </c>
      <c r="K70" s="14">
        <v>64246</v>
      </c>
      <c r="L70" s="15" t="s">
        <v>20</v>
      </c>
      <c r="M70" s="18"/>
      <c r="N70" s="44"/>
      <c r="O70" s="7"/>
      <c r="P70" s="21">
        <v>46114</v>
      </c>
      <c r="Q70" s="43">
        <f t="shared" si="6"/>
        <v>-1</v>
      </c>
      <c r="R70" s="22">
        <v>46107</v>
      </c>
      <c r="S70" s="26">
        <f t="shared" si="9"/>
        <v>0</v>
      </c>
      <c r="T70" s="29" t="str" cm="1">
        <f t="array" aca="1" ref="T70" ca="1">IFERROR(ROUND(CENTILE.SI.ENS($Q$2:$Q$2202,0.5,$E$2:$E$2202,E70,$Q$2:$Q$2202,"&gt;0"),0),"N/D")</f>
        <v>N/D</v>
      </c>
      <c r="U70" s="74">
        <f t="shared" si="10"/>
        <v>46116</v>
      </c>
    </row>
    <row r="71" spans="1:21" s="40" customFormat="1" ht="11.25" hidden="1" x14ac:dyDescent="0.2">
      <c r="A71" s="5" t="s">
        <v>18</v>
      </c>
      <c r="B71" s="5">
        <v>46120</v>
      </c>
      <c r="C71" s="5"/>
      <c r="D71" s="6">
        <v>202603016</v>
      </c>
      <c r="E71" s="7" t="s">
        <v>27</v>
      </c>
      <c r="F71" s="7" t="s">
        <v>283</v>
      </c>
      <c r="G71" s="8" t="s">
        <v>22</v>
      </c>
      <c r="H71" s="9">
        <v>30</v>
      </c>
      <c r="I71" s="10" t="s">
        <v>50</v>
      </c>
      <c r="J71" s="13">
        <v>46091</v>
      </c>
      <c r="K71" s="24">
        <v>349950.06</v>
      </c>
      <c r="L71" s="15" t="s">
        <v>20</v>
      </c>
      <c r="M71" s="18">
        <v>46126</v>
      </c>
      <c r="N71" s="44"/>
      <c r="O71" s="7"/>
      <c r="P71" s="21">
        <v>46121</v>
      </c>
      <c r="Q71" s="43">
        <f t="shared" si="6"/>
        <v>1</v>
      </c>
      <c r="R71" s="22">
        <v>46112</v>
      </c>
      <c r="S71" s="26">
        <f t="shared" si="9"/>
        <v>0</v>
      </c>
      <c r="T71" s="29" t="str" cm="1">
        <f t="array" aca="1" ref="T71" ca="1">IFERROR(ROUND(CENTILE.SI.ENS($Q$2:$Q$2202,0.5,$E$2:$E$2202,E71,$Q$2:$Q$2202,"&gt;0"),0),"N/D")</f>
        <v>N/D</v>
      </c>
      <c r="U71" s="74">
        <f t="shared" si="10"/>
        <v>46121</v>
      </c>
    </row>
    <row r="72" spans="1:21" s="40" customFormat="1" ht="11.25" hidden="1" x14ac:dyDescent="0.2">
      <c r="A72" s="5" t="s">
        <v>18</v>
      </c>
      <c r="B72" s="5">
        <v>46121</v>
      </c>
      <c r="C72" s="5"/>
      <c r="D72" s="6">
        <v>202603017</v>
      </c>
      <c r="E72" s="7" t="s">
        <v>27</v>
      </c>
      <c r="F72" s="7" t="s">
        <v>284</v>
      </c>
      <c r="G72" s="8" t="s">
        <v>22</v>
      </c>
      <c r="H72" s="9">
        <v>30</v>
      </c>
      <c r="I72" s="10" t="s">
        <v>50</v>
      </c>
      <c r="J72" s="13">
        <v>46092</v>
      </c>
      <c r="K72" s="24">
        <v>655795.65</v>
      </c>
      <c r="L72" s="15" t="s">
        <v>20</v>
      </c>
      <c r="M72" s="18">
        <v>46128</v>
      </c>
      <c r="N72" s="44"/>
      <c r="O72" s="7"/>
      <c r="P72" s="21">
        <v>46121</v>
      </c>
      <c r="Q72" s="43">
        <f t="shared" si="6"/>
        <v>0</v>
      </c>
      <c r="R72" s="22">
        <v>46113</v>
      </c>
      <c r="S72" s="26">
        <f t="shared" si="9"/>
        <v>0</v>
      </c>
      <c r="T72" s="29" t="str" cm="1">
        <f t="array" aca="1" ref="T72" ca="1">IFERROR(ROUND(CENTILE.SI.ENS($Q$2:$Q$2202,0.5,$E$2:$E$2202,E72,$Q$2:$Q$2202,"&gt;0"),0),"N/D")</f>
        <v>N/D</v>
      </c>
      <c r="U72" s="74">
        <f t="shared" si="10"/>
        <v>46122</v>
      </c>
    </row>
    <row r="73" spans="1:21" s="40" customFormat="1" ht="11.25" hidden="1" x14ac:dyDescent="0.2">
      <c r="A73" s="5" t="s">
        <v>85</v>
      </c>
      <c r="B73" s="5">
        <v>46104</v>
      </c>
      <c r="C73" s="5"/>
      <c r="D73" s="6">
        <v>202602039</v>
      </c>
      <c r="E73" s="7" t="s">
        <v>225</v>
      </c>
      <c r="F73" s="7" t="s">
        <v>226</v>
      </c>
      <c r="G73" s="8" t="s">
        <v>22</v>
      </c>
      <c r="H73" s="9">
        <v>30</v>
      </c>
      <c r="I73" s="10" t="s">
        <v>227</v>
      </c>
      <c r="J73" s="13">
        <v>46075</v>
      </c>
      <c r="K73" s="14">
        <v>479404.51</v>
      </c>
      <c r="L73" s="15" t="s">
        <v>20</v>
      </c>
      <c r="M73" s="18"/>
      <c r="N73" s="44"/>
      <c r="O73" s="7"/>
      <c r="P73" s="21">
        <v>46119</v>
      </c>
      <c r="Q73" s="43">
        <f t="shared" si="6"/>
        <v>15</v>
      </c>
      <c r="R73" s="22">
        <v>46120</v>
      </c>
      <c r="S73" s="26">
        <f t="shared" si="9"/>
        <v>15</v>
      </c>
      <c r="T73" s="29" t="str" cm="1">
        <f t="array" aca="1" ref="T73" ca="1">IFERROR(ROUND(CENTILE.SI.ENS($Q$2:$Q$2202,0.5,$E$2:$E$2202,E73,$Q$2:$Q$2202,"&gt;0"),0),"N/D")</f>
        <v>N/D</v>
      </c>
      <c r="U73" s="74">
        <f t="shared" si="10"/>
        <v>46122</v>
      </c>
    </row>
    <row r="74" spans="1:21" s="40" customFormat="1" ht="11.25" hidden="1" customHeight="1" x14ac:dyDescent="0.25">
      <c r="A74" s="5" t="s">
        <v>58</v>
      </c>
      <c r="B74" s="5">
        <v>46192</v>
      </c>
      <c r="C74" s="5"/>
      <c r="D74" s="6">
        <v>202605028</v>
      </c>
      <c r="E74" s="7" t="s">
        <v>438</v>
      </c>
      <c r="F74" s="7" t="s">
        <v>439</v>
      </c>
      <c r="G74" s="8" t="s">
        <v>19</v>
      </c>
      <c r="H74" s="9">
        <v>30</v>
      </c>
      <c r="I74" s="7" t="s">
        <v>172</v>
      </c>
      <c r="J74" s="13">
        <v>46163</v>
      </c>
      <c r="K74" s="14">
        <v>66675.960000000006</v>
      </c>
      <c r="L74" s="15" t="s">
        <v>34</v>
      </c>
      <c r="M74"/>
      <c r="N74" s="44">
        <f>56118.96+4068</f>
        <v>60186.96</v>
      </c>
      <c r="O74" s="83" t="s">
        <v>508</v>
      </c>
      <c r="P74" s="21">
        <v>46220</v>
      </c>
      <c r="Q74" s="43">
        <f t="shared" si="6"/>
        <v>28</v>
      </c>
      <c r="R74" s="22">
        <v>46198</v>
      </c>
      <c r="S74" s="26">
        <f t="shared" si="9"/>
        <v>28</v>
      </c>
      <c r="T74" s="29" t="str" cm="1">
        <f t="array" aca="1" ref="T74" ca="1">IFERROR(ROUND(CENTILE.SI.ENS($Q$2:$Q$2202,0.5,$E$2:$E$2202,E74,$Q$2:$Q$2202,"&gt;0"),0),"N/D")</f>
        <v>N/D</v>
      </c>
      <c r="U74" s="74">
        <f t="shared" si="10"/>
        <v>46226</v>
      </c>
    </row>
    <row r="75" spans="1:21" s="40" customFormat="1" ht="11.25" x14ac:dyDescent="0.2">
      <c r="A75" s="5" t="s">
        <v>58</v>
      </c>
      <c r="B75" s="5">
        <v>46230</v>
      </c>
      <c r="C75" s="5"/>
      <c r="D75" s="6">
        <v>202607041</v>
      </c>
      <c r="E75" s="7" t="s">
        <v>438</v>
      </c>
      <c r="F75" s="7" t="s">
        <v>439</v>
      </c>
      <c r="G75" s="8" t="s">
        <v>19</v>
      </c>
      <c r="H75" s="9">
        <v>0</v>
      </c>
      <c r="I75" s="7" t="s">
        <v>172</v>
      </c>
      <c r="J75" s="13">
        <v>46163</v>
      </c>
      <c r="K75" s="14">
        <v>519.16</v>
      </c>
      <c r="L75" s="15" t="s">
        <v>34</v>
      </c>
      <c r="M75" s="18"/>
      <c r="N75" s="14"/>
      <c r="O75" s="7" t="s">
        <v>455</v>
      </c>
      <c r="P75" s="21"/>
      <c r="Q75" s="43" t="str">
        <f t="shared" si="6"/>
        <v>En attente paiement</v>
      </c>
      <c r="R75" s="22"/>
      <c r="S75" s="26">
        <f t="shared" si="9"/>
        <v>28</v>
      </c>
      <c r="T75" s="29" t="str" cm="1">
        <f t="array" aca="1" ref="T75" ca="1">IFERROR(ROUND(CENTILE.SI.ENS($Q$2:$Q$2202,0.5,$E$2:$E$2202,E75,$Q$2:$Q$2202,"&gt;0"),0),"N/D")</f>
        <v>N/D</v>
      </c>
      <c r="U75" s="74">
        <f t="shared" si="10"/>
        <v>46264</v>
      </c>
    </row>
    <row r="76" spans="1:21" s="40" customFormat="1" ht="11.25" hidden="1" x14ac:dyDescent="0.2">
      <c r="A76" s="35" t="s">
        <v>55</v>
      </c>
      <c r="B76" s="35">
        <v>46084</v>
      </c>
      <c r="C76" s="35"/>
      <c r="D76" s="36">
        <v>202602008</v>
      </c>
      <c r="E76" s="37" t="s">
        <v>185</v>
      </c>
      <c r="F76" s="37" t="s">
        <v>186</v>
      </c>
      <c r="G76" s="38" t="s">
        <v>22</v>
      </c>
      <c r="H76" s="39">
        <v>30</v>
      </c>
      <c r="I76" s="40" t="s">
        <v>187</v>
      </c>
      <c r="J76" s="38">
        <v>46055</v>
      </c>
      <c r="K76" s="44">
        <v>293527.63</v>
      </c>
      <c r="L76" s="42" t="s">
        <v>20</v>
      </c>
      <c r="M76" s="18"/>
      <c r="N76" s="44">
        <v>293472.63</v>
      </c>
      <c r="O76" s="7"/>
      <c r="P76" s="21">
        <v>46084</v>
      </c>
      <c r="Q76" s="43">
        <f t="shared" si="6"/>
        <v>0</v>
      </c>
      <c r="R76" s="21">
        <v>46084</v>
      </c>
      <c r="S76" s="26">
        <f t="shared" si="9"/>
        <v>-1</v>
      </c>
      <c r="T76" s="29" t="str" cm="1">
        <f t="array" aca="1" ref="T76" ca="1">IFERROR(ROUND(CENTILE.SI.ENS($Q$2:$Q$2202,0.5,$E$2:$E$2202,E76,$Q$2:$Q$2202,"&gt;0"),0),"N/D")</f>
        <v>N/D</v>
      </c>
      <c r="U76" s="74">
        <f t="shared" si="10"/>
        <v>46083</v>
      </c>
    </row>
    <row r="77" spans="1:21" s="40" customFormat="1" ht="11.25" hidden="1" x14ac:dyDescent="0.2">
      <c r="A77" s="35" t="s">
        <v>55</v>
      </c>
      <c r="B77" s="35">
        <v>46106</v>
      </c>
      <c r="C77" s="35"/>
      <c r="D77" s="36">
        <v>202602052</v>
      </c>
      <c r="E77" s="37" t="s">
        <v>185</v>
      </c>
      <c r="F77" s="37" t="s">
        <v>186</v>
      </c>
      <c r="G77" s="38" t="s">
        <v>22</v>
      </c>
      <c r="H77" s="39">
        <v>30</v>
      </c>
      <c r="I77" s="37" t="s">
        <v>246</v>
      </c>
      <c r="J77" s="38">
        <v>46077</v>
      </c>
      <c r="K77" s="44">
        <v>452353.31</v>
      </c>
      <c r="L77" s="42" t="s">
        <v>20</v>
      </c>
      <c r="M77" s="18"/>
      <c r="N77" s="44"/>
      <c r="O77" s="7"/>
      <c r="P77" s="21">
        <v>46105</v>
      </c>
      <c r="Q77" s="43">
        <f t="shared" si="6"/>
        <v>-1</v>
      </c>
      <c r="R77" s="21">
        <v>46107</v>
      </c>
      <c r="S77" s="26">
        <f t="shared" si="9"/>
        <v>-1</v>
      </c>
      <c r="T77" s="29" t="str" cm="1">
        <f t="array" aca="1" ref="T77" ca="1">IFERROR(ROUND(CENTILE.SI.ENS($Q$2:$Q$2202,0.5,$E$2:$E$2202,E77,$Q$2:$Q$2202,"&gt;0"),0),"N/D")</f>
        <v>N/D</v>
      </c>
      <c r="U77" s="74">
        <f t="shared" si="10"/>
        <v>46105</v>
      </c>
    </row>
    <row r="78" spans="1:21" s="75" customFormat="1" ht="11.25" hidden="1" x14ac:dyDescent="0.2">
      <c r="A78" s="5" t="s">
        <v>55</v>
      </c>
      <c r="B78" s="5">
        <v>46171</v>
      </c>
      <c r="C78" s="5"/>
      <c r="D78" s="6">
        <v>202604047</v>
      </c>
      <c r="E78" s="7" t="s">
        <v>185</v>
      </c>
      <c r="F78" s="7" t="s">
        <v>186</v>
      </c>
      <c r="G78" s="8" t="s">
        <v>22</v>
      </c>
      <c r="H78" s="9">
        <v>30</v>
      </c>
      <c r="I78" s="7" t="s">
        <v>407</v>
      </c>
      <c r="J78" s="13">
        <v>46142</v>
      </c>
      <c r="K78" s="14">
        <v>361019.4</v>
      </c>
      <c r="L78" s="15" t="s">
        <v>20</v>
      </c>
      <c r="M78" s="18"/>
      <c r="N78" s="44"/>
      <c r="O78" s="7"/>
      <c r="P78" s="21">
        <v>46170</v>
      </c>
      <c r="Q78" s="43">
        <f t="shared" si="6"/>
        <v>-1</v>
      </c>
      <c r="R78" s="22">
        <v>46174</v>
      </c>
      <c r="S78" s="26">
        <f t="shared" si="9"/>
        <v>-1</v>
      </c>
      <c r="T78" s="29" t="str" cm="1">
        <f t="array" aca="1" ref="T78" ca="1">IFERROR(ROUND(CENTILE.SI.ENS($Q$2:$Q$2202,0.5,$E$2:$E$2202,E78,$Q$2:$Q$2202,"&gt;0"),0),"N/D")</f>
        <v>N/D</v>
      </c>
      <c r="U78" s="74">
        <f t="shared" si="10"/>
        <v>46170</v>
      </c>
    </row>
    <row r="79" spans="1:21" s="10" customFormat="1" ht="11.25" x14ac:dyDescent="0.2">
      <c r="A79" s="5" t="s">
        <v>55</v>
      </c>
      <c r="B79" s="5">
        <v>46233</v>
      </c>
      <c r="C79" s="5"/>
      <c r="D79" s="6">
        <v>202606039</v>
      </c>
      <c r="E79" s="7" t="s">
        <v>36</v>
      </c>
      <c r="F79" s="7" t="s">
        <v>293</v>
      </c>
      <c r="G79" s="8" t="s">
        <v>22</v>
      </c>
      <c r="H79" s="9">
        <v>45</v>
      </c>
      <c r="I79" s="7" t="s">
        <v>398</v>
      </c>
      <c r="J79" s="13">
        <v>46189</v>
      </c>
      <c r="K79" s="24">
        <v>25461</v>
      </c>
      <c r="L79" s="15" t="s">
        <v>34</v>
      </c>
      <c r="M79" s="18">
        <v>46263</v>
      </c>
      <c r="N79" s="14"/>
      <c r="O79" s="7"/>
      <c r="P79" s="21"/>
      <c r="Q79" s="43" t="str">
        <f t="shared" si="6"/>
        <v>En attente paiement</v>
      </c>
      <c r="R79" s="22">
        <v>46210</v>
      </c>
      <c r="S79" s="26">
        <f t="shared" si="9"/>
        <v>22</v>
      </c>
      <c r="T79" s="29" t="str" cm="1">
        <f t="array" aca="1" ref="T79" ca="1">IFERROR(ROUND(CENTILE.SI.ENS($Q$2:$Q$2202,0.5,$E$2:$E$2202,E79,$Q$2:$Q$2202,"&gt;0"),0),"N/D")</f>
        <v>N/D</v>
      </c>
      <c r="U79" s="74">
        <f t="shared" si="10"/>
        <v>46260</v>
      </c>
    </row>
    <row r="80" spans="1:21" s="40" customFormat="1" ht="11.25" hidden="1" customHeight="1" x14ac:dyDescent="0.25">
      <c r="A80" s="5" t="s">
        <v>85</v>
      </c>
      <c r="B80" s="5">
        <v>46213</v>
      </c>
      <c r="C80" s="5"/>
      <c r="D80" s="6">
        <v>202606020</v>
      </c>
      <c r="E80" s="7" t="s">
        <v>468</v>
      </c>
      <c r="F80" s="7" t="s">
        <v>469</v>
      </c>
      <c r="G80" s="8" t="s">
        <v>22</v>
      </c>
      <c r="H80" s="9">
        <v>30</v>
      </c>
      <c r="I80" s="7" t="s">
        <v>101</v>
      </c>
      <c r="J80" s="13">
        <v>46185</v>
      </c>
      <c r="K80" s="14">
        <v>177193.03</v>
      </c>
      <c r="L80" s="15" t="s">
        <v>20</v>
      </c>
      <c r="M80" s="46"/>
      <c r="N80" s="44"/>
      <c r="O80" s="17"/>
      <c r="P80" s="21">
        <v>46216</v>
      </c>
      <c r="Q80" s="43">
        <f t="shared" si="6"/>
        <v>3</v>
      </c>
      <c r="R80" s="22">
        <v>46181</v>
      </c>
      <c r="S80" s="26">
        <f t="shared" si="9"/>
        <v>2</v>
      </c>
      <c r="T80" s="29" t="str" cm="1">
        <f t="array" aca="1" ref="T80" ca="1">IFERROR(ROUND(CENTILE.SI.ENS($Q$2:$Q$2202,0.5,$E$2:$E$2202,E80,$Q$2:$Q$2202,"&gt;0"),0),"N/D")</f>
        <v>N/D</v>
      </c>
      <c r="U80" s="74">
        <f t="shared" si="10"/>
        <v>46216</v>
      </c>
    </row>
    <row r="81" spans="1:21" s="40" customFormat="1" hidden="1" x14ac:dyDescent="0.2">
      <c r="A81" s="5" t="s">
        <v>85</v>
      </c>
      <c r="B81" s="5">
        <v>46227</v>
      </c>
      <c r="C81" s="5"/>
      <c r="D81" s="6">
        <v>202606042</v>
      </c>
      <c r="E81" s="7" t="s">
        <v>468</v>
      </c>
      <c r="F81" s="7" t="s">
        <v>469</v>
      </c>
      <c r="G81" s="8" t="s">
        <v>22</v>
      </c>
      <c r="H81" s="9">
        <v>30</v>
      </c>
      <c r="I81" s="7" t="s">
        <v>101</v>
      </c>
      <c r="J81" s="13">
        <v>46199</v>
      </c>
      <c r="K81" s="24">
        <v>698584.95</v>
      </c>
      <c r="L81" s="15" t="s">
        <v>20</v>
      </c>
      <c r="M81" s="16">
        <v>46244</v>
      </c>
      <c r="N81" s="44"/>
      <c r="O81" s="17"/>
      <c r="P81" s="21">
        <v>46230</v>
      </c>
      <c r="Q81" s="43">
        <f t="shared" si="6"/>
        <v>3</v>
      </c>
      <c r="R81" s="22">
        <v>46198</v>
      </c>
      <c r="S81" s="26">
        <f t="shared" si="9"/>
        <v>2</v>
      </c>
      <c r="T81" s="29" t="str" cm="1">
        <f t="array" aca="1" ref="T81" ca="1">IFERROR(ROUND(CENTILE.SI.ENS($Q$2:$Q$2202,0.5,$E$2:$E$2202,E81,$Q$2:$Q$2202,"&gt;0"),0),"N/D")</f>
        <v>N/D</v>
      </c>
      <c r="U81" s="74">
        <f t="shared" si="10"/>
        <v>46230</v>
      </c>
    </row>
    <row r="82" spans="1:21" s="40" customFormat="1" hidden="1" x14ac:dyDescent="0.2">
      <c r="A82" s="5" t="s">
        <v>85</v>
      </c>
      <c r="B82" s="5">
        <v>46246</v>
      </c>
      <c r="C82" s="5"/>
      <c r="D82" s="6">
        <v>51</v>
      </c>
      <c r="E82" s="7" t="s">
        <v>468</v>
      </c>
      <c r="F82" s="7" t="s">
        <v>524</v>
      </c>
      <c r="G82" s="8" t="s">
        <v>22</v>
      </c>
      <c r="H82" s="9">
        <v>30</v>
      </c>
      <c r="I82" s="7" t="s">
        <v>37</v>
      </c>
      <c r="J82" s="13">
        <v>46217</v>
      </c>
      <c r="K82" s="24">
        <v>153747.4</v>
      </c>
      <c r="L82" s="15" t="s">
        <v>20</v>
      </c>
      <c r="M82" s="16">
        <v>46257</v>
      </c>
      <c r="N82" s="44"/>
      <c r="O82" s="17"/>
      <c r="P82" s="21">
        <v>46247</v>
      </c>
      <c r="Q82" s="43">
        <f t="shared" si="6"/>
        <v>1</v>
      </c>
      <c r="R82" s="22">
        <v>46248</v>
      </c>
      <c r="S82" s="26">
        <f t="shared" si="9"/>
        <v>2</v>
      </c>
      <c r="T82" s="29" t="str" cm="1">
        <f t="array" aca="1" ref="T82" ca="1">IFERROR(ROUND(CENTILE.SI.ENS($Q$2:$Q$2202,0.5,$E$2:$E$2202,E82,$Q$2:$Q$2202,"&gt;0"),0),"N/D")</f>
        <v>N/D</v>
      </c>
      <c r="U82" s="74">
        <f t="shared" si="10"/>
        <v>46249</v>
      </c>
    </row>
    <row r="83" spans="1:21" s="40" customFormat="1" ht="11.25" hidden="1" x14ac:dyDescent="0.2">
      <c r="A83" s="5" t="s">
        <v>55</v>
      </c>
      <c r="B83" s="5">
        <v>46157</v>
      </c>
      <c r="C83" s="5"/>
      <c r="D83" s="6">
        <v>202605011</v>
      </c>
      <c r="E83" s="7" t="s">
        <v>413</v>
      </c>
      <c r="F83" s="7" t="s">
        <v>414</v>
      </c>
      <c r="G83" s="8" t="s">
        <v>65</v>
      </c>
      <c r="H83" s="9">
        <v>15</v>
      </c>
      <c r="I83" s="10" t="s">
        <v>141</v>
      </c>
      <c r="J83" s="13">
        <v>46144</v>
      </c>
      <c r="K83" s="14">
        <v>94933.440000000002</v>
      </c>
      <c r="L83" s="15" t="s">
        <v>34</v>
      </c>
      <c r="M83" s="18"/>
      <c r="N83" s="44"/>
      <c r="O83" s="7"/>
      <c r="P83" s="21">
        <v>46157</v>
      </c>
      <c r="Q83" s="43">
        <f t="shared" si="6"/>
        <v>0</v>
      </c>
      <c r="R83" s="21">
        <v>46176</v>
      </c>
      <c r="S83" s="26">
        <f t="shared" si="9"/>
        <v>0</v>
      </c>
      <c r="T83" s="29" t="str" cm="1">
        <f t="array" aca="1" ref="T83" ca="1">IFERROR(ROUND(CENTILE.SI.ENS($Q$2:$Q$2202,0.5,$E$2:$E$2202,E83,$Q$2:$Q$2202,"&gt;0"),0),"N/D")</f>
        <v>N/D</v>
      </c>
      <c r="U83" s="74">
        <f t="shared" si="10"/>
        <v>46157</v>
      </c>
    </row>
    <row r="84" spans="1:21" s="40" customFormat="1" ht="11.25" hidden="1" x14ac:dyDescent="0.2">
      <c r="A84" s="5" t="s">
        <v>268</v>
      </c>
      <c r="B84" s="5">
        <v>46115</v>
      </c>
      <c r="C84" s="5"/>
      <c r="D84" s="6">
        <v>202603012</v>
      </c>
      <c r="E84" s="7" t="s">
        <v>277</v>
      </c>
      <c r="F84" s="7" t="s">
        <v>278</v>
      </c>
      <c r="G84" s="8" t="s">
        <v>22</v>
      </c>
      <c r="H84" s="9">
        <v>30</v>
      </c>
      <c r="I84" s="10" t="s">
        <v>279</v>
      </c>
      <c r="J84" s="13">
        <v>46087</v>
      </c>
      <c r="K84" s="14">
        <v>166499.46</v>
      </c>
      <c r="L84" s="15" t="s">
        <v>20</v>
      </c>
      <c r="M84" s="18"/>
      <c r="N84" s="44"/>
      <c r="O84" s="7"/>
      <c r="P84" s="21">
        <v>46122</v>
      </c>
      <c r="Q84" s="43">
        <f t="shared" si="6"/>
        <v>7</v>
      </c>
      <c r="R84" s="22">
        <v>46107</v>
      </c>
      <c r="S84" s="26">
        <f t="shared" si="9"/>
        <v>5</v>
      </c>
      <c r="T84" s="29" t="str" cm="1">
        <f t="array" aca="1" ref="T84" ca="1">IFERROR(ROUND(CENTILE.SI.ENS($Q$2:$Q$2202,0.5,$E$2:$E$2202,E84,$Q$2:$Q$2202,"&gt;0"),0),"N/D")</f>
        <v>N/D</v>
      </c>
      <c r="U84" s="74">
        <f t="shared" si="10"/>
        <v>46121</v>
      </c>
    </row>
    <row r="85" spans="1:21" s="75" customFormat="1" hidden="1" x14ac:dyDescent="0.2">
      <c r="A85" s="5" t="s">
        <v>55</v>
      </c>
      <c r="B85" s="5">
        <v>46182</v>
      </c>
      <c r="C85" s="5"/>
      <c r="D85" s="6">
        <v>202605020</v>
      </c>
      <c r="E85" s="7" t="s">
        <v>277</v>
      </c>
      <c r="F85" s="7" t="s">
        <v>278</v>
      </c>
      <c r="G85" s="8" t="s">
        <v>22</v>
      </c>
      <c r="H85" s="9">
        <v>30</v>
      </c>
      <c r="I85" s="7" t="s">
        <v>426</v>
      </c>
      <c r="J85" s="13">
        <v>46153</v>
      </c>
      <c r="K85" s="14">
        <v>83756.52</v>
      </c>
      <c r="L85" s="15" t="s">
        <v>20</v>
      </c>
      <c r="M85" s="16"/>
      <c r="N85" s="44"/>
      <c r="O85" s="17"/>
      <c r="P85" s="21">
        <v>46184</v>
      </c>
      <c r="Q85" s="43">
        <f t="shared" si="6"/>
        <v>2</v>
      </c>
      <c r="R85" s="22">
        <v>46174</v>
      </c>
      <c r="S85" s="26">
        <f t="shared" si="9"/>
        <v>5</v>
      </c>
      <c r="T85" s="29" t="str" cm="1">
        <f t="array" aca="1" ref="T85" ca="1">IFERROR(ROUND(CENTILE.SI.ENS($Q$2:$Q$2202,0.5,$E$2:$E$2202,E85,$Q$2:$Q$2202,"&gt;0"),0),"N/D")</f>
        <v>N/D</v>
      </c>
      <c r="U85" s="74">
        <f t="shared" si="10"/>
        <v>46188</v>
      </c>
    </row>
    <row r="86" spans="1:21" s="75" customFormat="1" ht="11.25" x14ac:dyDescent="0.2">
      <c r="A86" s="5" t="s">
        <v>58</v>
      </c>
      <c r="B86" s="5">
        <v>46234</v>
      </c>
      <c r="C86" s="5"/>
      <c r="D86" s="6">
        <v>202607008</v>
      </c>
      <c r="E86" s="7" t="s">
        <v>496</v>
      </c>
      <c r="F86" s="7" t="s">
        <v>497</v>
      </c>
      <c r="G86" s="8" t="s">
        <v>65</v>
      </c>
      <c r="H86" s="9">
        <v>30</v>
      </c>
      <c r="I86" s="7" t="s">
        <v>101</v>
      </c>
      <c r="J86" s="13">
        <v>46207</v>
      </c>
      <c r="K86" s="14">
        <v>94680</v>
      </c>
      <c r="L86" s="15" t="s">
        <v>20</v>
      </c>
      <c r="M86" s="18"/>
      <c r="N86" s="14"/>
      <c r="O86" s="7"/>
      <c r="P86" s="21"/>
      <c r="Q86" s="43" t="str">
        <f t="shared" si="6"/>
        <v>En attente paiement</v>
      </c>
      <c r="R86" s="22">
        <v>46205</v>
      </c>
      <c r="S86" s="26" t="str">
        <f t="shared" si="9"/>
        <v>N/D</v>
      </c>
      <c r="T86" s="29" t="str" cm="1">
        <f t="array" aca="1" ref="T86" ca="1">IFERROR(ROUND(CENTILE.SI.ENS($Q$2:$Q$2202,0.5,$E$2:$E$2202,E86,$Q$2:$Q$2202,"&gt;0"),0),"N/D")</f>
        <v>N/D</v>
      </c>
      <c r="U86" s="74" t="str">
        <f t="shared" si="10"/>
        <v>N/D</v>
      </c>
    </row>
    <row r="87" spans="1:21" s="40" customFormat="1" ht="11.25" hidden="1" x14ac:dyDescent="0.2">
      <c r="A87" s="5" t="s">
        <v>18</v>
      </c>
      <c r="B87" s="5">
        <v>46101</v>
      </c>
      <c r="C87" s="5">
        <v>46092</v>
      </c>
      <c r="D87" s="6">
        <v>202602060</v>
      </c>
      <c r="E87" s="7" t="s">
        <v>271</v>
      </c>
      <c r="F87" s="7" t="s">
        <v>158</v>
      </c>
      <c r="G87" s="8" t="s">
        <v>22</v>
      </c>
      <c r="H87" s="9">
        <v>30</v>
      </c>
      <c r="I87" s="10" t="s">
        <v>272</v>
      </c>
      <c r="J87" s="13">
        <v>46073</v>
      </c>
      <c r="K87" s="14">
        <v>107812.17</v>
      </c>
      <c r="L87" s="15" t="s">
        <v>20</v>
      </c>
      <c r="M87" s="18"/>
      <c r="N87" s="44"/>
      <c r="O87" s="7"/>
      <c r="P87" s="21">
        <v>46133</v>
      </c>
      <c r="Q87" s="43">
        <f t="shared" si="6"/>
        <v>32</v>
      </c>
      <c r="R87" s="22">
        <v>46097</v>
      </c>
      <c r="S87" s="26">
        <f t="shared" si="9"/>
        <v>32</v>
      </c>
      <c r="T87" s="29" t="str" cm="1">
        <f t="array" aca="1" ref="T87" ca="1">IFERROR(ROUND(CENTILE.SI.ENS($Q$2:$Q$2202,0.5,$E$2:$E$2202,E87,$Q$2:$Q$2202,"&gt;0"),0),"N/D")</f>
        <v>N/D</v>
      </c>
      <c r="U87" s="74">
        <f t="shared" si="10"/>
        <v>46140</v>
      </c>
    </row>
    <row r="88" spans="1:21" s="40" customFormat="1" ht="11.25" x14ac:dyDescent="0.2">
      <c r="A88" s="5" t="s">
        <v>55</v>
      </c>
      <c r="B88" s="5">
        <v>46234</v>
      </c>
      <c r="C88" s="5"/>
      <c r="D88" s="6">
        <v>202606041</v>
      </c>
      <c r="E88" s="7" t="s">
        <v>36</v>
      </c>
      <c r="F88" s="7" t="s">
        <v>47</v>
      </c>
      <c r="G88" s="8" t="s">
        <v>22</v>
      </c>
      <c r="H88" s="9">
        <v>45</v>
      </c>
      <c r="I88" s="7" t="s">
        <v>279</v>
      </c>
      <c r="J88" s="13">
        <v>46192</v>
      </c>
      <c r="K88" s="24">
        <v>82200</v>
      </c>
      <c r="L88" s="15" t="s">
        <v>34</v>
      </c>
      <c r="M88" s="18">
        <v>46262</v>
      </c>
      <c r="N88" s="14"/>
      <c r="O88" s="7"/>
      <c r="P88" s="21"/>
      <c r="Q88" s="43" t="str">
        <f t="shared" si="6"/>
        <v>En attente paiement</v>
      </c>
      <c r="R88" s="22">
        <v>46212</v>
      </c>
      <c r="S88" s="26">
        <f t="shared" si="9"/>
        <v>22</v>
      </c>
      <c r="T88" s="29" t="str" cm="1">
        <f t="array" aca="1" ref="T88" ca="1">IFERROR(ROUND(CENTILE.SI.ENS($Q$2:$Q$2202,0.5,$E$2:$E$2202,E88,$Q$2:$Q$2202,"&gt;0"),0),"N/D")</f>
        <v>N/D</v>
      </c>
      <c r="U88" s="74">
        <f t="shared" si="10"/>
        <v>46261</v>
      </c>
    </row>
    <row r="89" spans="1:21" s="40" customFormat="1" ht="11.25" x14ac:dyDescent="0.2">
      <c r="A89" s="5" t="s">
        <v>55</v>
      </c>
      <c r="B89" s="5">
        <v>46240</v>
      </c>
      <c r="C89" s="5"/>
      <c r="D89" s="6">
        <v>45</v>
      </c>
      <c r="E89" s="7" t="s">
        <v>36</v>
      </c>
      <c r="F89" s="7" t="s">
        <v>485</v>
      </c>
      <c r="G89" s="8" t="s">
        <v>22</v>
      </c>
      <c r="H89" s="9">
        <v>45</v>
      </c>
      <c r="I89" s="7" t="s">
        <v>42</v>
      </c>
      <c r="J89" s="13">
        <v>46196</v>
      </c>
      <c r="K89" s="24">
        <v>54061.19</v>
      </c>
      <c r="L89" s="15" t="s">
        <v>34</v>
      </c>
      <c r="M89" s="18">
        <v>46264</v>
      </c>
      <c r="N89" s="14"/>
      <c r="O89" s="7"/>
      <c r="P89" s="21"/>
      <c r="Q89" s="43" t="str">
        <f t="shared" si="6"/>
        <v>En attente paiement</v>
      </c>
      <c r="R89" s="22">
        <v>46230</v>
      </c>
      <c r="S89" s="26">
        <f t="shared" si="9"/>
        <v>22</v>
      </c>
      <c r="T89" s="29" t="str" cm="1">
        <f t="array" aca="1" ref="T89" ca="1">IFERROR(ROUND(CENTILE.SI.ENS($Q$2:$Q$2202,0.5,$E$2:$E$2202,E89,$Q$2:$Q$2202,"&gt;0"),0),"N/D")</f>
        <v>N/D</v>
      </c>
      <c r="U89" s="74">
        <f t="shared" si="10"/>
        <v>46267</v>
      </c>
    </row>
    <row r="90" spans="1:21" s="40" customFormat="1" hidden="1" x14ac:dyDescent="0.2">
      <c r="A90" s="5" t="s">
        <v>55</v>
      </c>
      <c r="B90" s="5">
        <v>46241</v>
      </c>
      <c r="C90" s="5"/>
      <c r="D90" s="6">
        <v>202606048</v>
      </c>
      <c r="E90" s="7" t="s">
        <v>491</v>
      </c>
      <c r="F90" s="7" t="s">
        <v>492</v>
      </c>
      <c r="G90" s="8" t="s">
        <v>22</v>
      </c>
      <c r="H90" s="9">
        <v>45</v>
      </c>
      <c r="I90" s="7" t="s">
        <v>90</v>
      </c>
      <c r="J90" s="13">
        <v>46198</v>
      </c>
      <c r="K90" s="24">
        <v>57161.53</v>
      </c>
      <c r="L90" s="15" t="s">
        <v>34</v>
      </c>
      <c r="M90" s="16">
        <v>46260</v>
      </c>
      <c r="N90" s="44"/>
      <c r="O90" s="17"/>
      <c r="P90" s="21">
        <v>46255</v>
      </c>
      <c r="Q90" s="43">
        <f t="shared" si="6"/>
        <v>14</v>
      </c>
      <c r="R90" s="22">
        <v>46294</v>
      </c>
      <c r="S90" s="26">
        <f t="shared" si="9"/>
        <v>14</v>
      </c>
      <c r="T90" s="29" t="str" cm="1">
        <f t="array" aca="1" ref="T90" ca="1">IFERROR(ROUND(CENTILE.SI.ENS($Q$2:$Q$2202,0.5,$E$2:$E$2202,E90,$Q$2:$Q$2202,"&gt;0"),0),"N/D")</f>
        <v>N/D</v>
      </c>
      <c r="U90" s="74">
        <f t="shared" si="10"/>
        <v>46258</v>
      </c>
    </row>
    <row r="91" spans="1:21" s="40" customFormat="1" hidden="1" x14ac:dyDescent="0.2">
      <c r="A91" s="5" t="s">
        <v>85</v>
      </c>
      <c r="B91" s="5">
        <v>46240</v>
      </c>
      <c r="C91" s="5"/>
      <c r="D91" s="6">
        <v>202608017</v>
      </c>
      <c r="E91" s="7" t="s">
        <v>319</v>
      </c>
      <c r="F91" s="7" t="s">
        <v>538</v>
      </c>
      <c r="G91" s="8" t="s">
        <v>131</v>
      </c>
      <c r="H91" s="9" t="s">
        <v>208</v>
      </c>
      <c r="I91" s="7" t="s">
        <v>104</v>
      </c>
      <c r="J91" s="13">
        <v>46237</v>
      </c>
      <c r="K91" s="14">
        <v>1965064.31</v>
      </c>
      <c r="L91" s="15" t="s">
        <v>34</v>
      </c>
      <c r="M91" s="16"/>
      <c r="N91" s="44"/>
      <c r="O91" s="17"/>
      <c r="P91" s="21">
        <v>46240</v>
      </c>
      <c r="Q91" s="43">
        <f t="shared" si="6"/>
        <v>0</v>
      </c>
      <c r="R91" s="22">
        <v>46240</v>
      </c>
      <c r="S91" s="26">
        <f t="shared" si="9"/>
        <v>0</v>
      </c>
      <c r="T91" s="29"/>
      <c r="U91" s="74">
        <f t="shared" si="10"/>
        <v>46239</v>
      </c>
    </row>
    <row r="92" spans="1:21" s="40" customFormat="1" ht="11.25" x14ac:dyDescent="0.2">
      <c r="A92" s="5" t="s">
        <v>55</v>
      </c>
      <c r="B92" s="5">
        <v>46241</v>
      </c>
      <c r="C92" s="5"/>
      <c r="D92" s="6">
        <v>202607034</v>
      </c>
      <c r="E92" s="7" t="s">
        <v>176</v>
      </c>
      <c r="F92" s="7" t="s">
        <v>525</v>
      </c>
      <c r="G92" s="8" t="s">
        <v>131</v>
      </c>
      <c r="H92" s="9">
        <v>30</v>
      </c>
      <c r="I92" s="7" t="s">
        <v>21</v>
      </c>
      <c r="J92" s="13">
        <v>46212</v>
      </c>
      <c r="K92" s="14">
        <v>373950</v>
      </c>
      <c r="L92" s="15" t="s">
        <v>20</v>
      </c>
      <c r="M92" s="18"/>
      <c r="N92" s="14"/>
      <c r="O92" s="7"/>
      <c r="P92" s="21"/>
      <c r="Q92" s="43" t="str">
        <f t="shared" si="6"/>
        <v>En attente paiement</v>
      </c>
      <c r="R92" s="22">
        <v>46232</v>
      </c>
      <c r="S92" s="26">
        <f t="shared" si="9"/>
        <v>7</v>
      </c>
      <c r="T92" s="29" t="str" cm="1">
        <f t="array" aca="1" ref="T92" ca="1">IFERROR(ROUND(CENTILE.SI.ENS($Q$2:$Q$2202,0.5,$E$2:$E$2202,E92,$Q$2:$Q$2202,"&gt;0"),0),"N/D")</f>
        <v>N/D</v>
      </c>
      <c r="U92" s="74">
        <f t="shared" si="10"/>
        <v>46249</v>
      </c>
    </row>
    <row r="93" spans="1:21" s="40" customFormat="1" ht="11.25" hidden="1" x14ac:dyDescent="0.2">
      <c r="A93" s="35" t="s">
        <v>44</v>
      </c>
      <c r="B93" s="35">
        <v>46059</v>
      </c>
      <c r="C93" s="35"/>
      <c r="D93" s="36">
        <v>202601009</v>
      </c>
      <c r="E93" s="37" t="s">
        <v>35</v>
      </c>
      <c r="F93" s="37" t="s">
        <v>89</v>
      </c>
      <c r="G93" s="38" t="s">
        <v>22</v>
      </c>
      <c r="H93" s="39">
        <v>30</v>
      </c>
      <c r="I93" s="37" t="s">
        <v>90</v>
      </c>
      <c r="J93" s="38">
        <v>46030</v>
      </c>
      <c r="K93" s="44">
        <v>48667.519999999997</v>
      </c>
      <c r="L93" s="42" t="s">
        <v>20</v>
      </c>
      <c r="M93" s="18"/>
      <c r="N93" s="44">
        <v>48667.519999999997</v>
      </c>
      <c r="O93" s="7"/>
      <c r="P93" s="21">
        <v>46070</v>
      </c>
      <c r="Q93" s="43">
        <f t="shared" si="6"/>
        <v>11</v>
      </c>
      <c r="R93" s="21">
        <v>46064</v>
      </c>
      <c r="S93" s="26">
        <f t="shared" si="9"/>
        <v>28</v>
      </c>
      <c r="T93" s="29" t="str" cm="1">
        <f t="array" aca="1" ref="T93" ca="1">IFERROR(ROUND(CENTILE.SI.ENS($Q$2:$Q$2202,0.5,$E$2:$E$2202,E93,$Q$2:$Q$2202,"&gt;0"),0),"N/D")</f>
        <v>N/D</v>
      </c>
      <c r="U93" s="74">
        <f t="shared" si="10"/>
        <v>46093</v>
      </c>
    </row>
    <row r="94" spans="1:21" s="40" customFormat="1" ht="11.25" hidden="1" x14ac:dyDescent="0.2">
      <c r="A94" s="35" t="s">
        <v>44</v>
      </c>
      <c r="B94" s="35">
        <v>46066</v>
      </c>
      <c r="C94" s="35"/>
      <c r="D94" s="36">
        <v>202601016</v>
      </c>
      <c r="E94" s="37" t="s">
        <v>35</v>
      </c>
      <c r="F94" s="37" t="s">
        <v>110</v>
      </c>
      <c r="G94" s="38" t="s">
        <v>22</v>
      </c>
      <c r="H94" s="39">
        <v>30</v>
      </c>
      <c r="I94" s="40" t="s">
        <v>103</v>
      </c>
      <c r="J94" s="38">
        <v>46037</v>
      </c>
      <c r="K94" s="44">
        <v>3045</v>
      </c>
      <c r="L94" s="42" t="s">
        <v>20</v>
      </c>
      <c r="M94" s="18"/>
      <c r="N94" s="44">
        <v>3017</v>
      </c>
      <c r="O94" s="7"/>
      <c r="P94" s="21">
        <v>46070</v>
      </c>
      <c r="Q94" s="43">
        <f t="shared" si="6"/>
        <v>4</v>
      </c>
      <c r="R94" s="21">
        <v>46066</v>
      </c>
      <c r="S94" s="26">
        <f t="shared" si="9"/>
        <v>28</v>
      </c>
      <c r="T94" s="29" t="str" cm="1">
        <f t="array" aca="1" ref="T94" ca="1">IFERROR(ROUND(CENTILE.SI.ENS($Q$2:$Q$2202,0.5,$E$2:$E$2202,E94,$Q$2:$Q$2202,"&gt;0"),0),"N/D")</f>
        <v>N/D</v>
      </c>
      <c r="U94" s="74">
        <f t="shared" si="10"/>
        <v>46100</v>
      </c>
    </row>
    <row r="95" spans="1:21" s="40" customFormat="1" ht="11.25" hidden="1" x14ac:dyDescent="0.2">
      <c r="A95" s="35" t="s">
        <v>44</v>
      </c>
      <c r="B95" s="35">
        <v>46066</v>
      </c>
      <c r="C95" s="35"/>
      <c r="D95" s="36">
        <v>202601027</v>
      </c>
      <c r="E95" s="37" t="s">
        <v>35</v>
      </c>
      <c r="F95" s="37" t="s">
        <v>117</v>
      </c>
      <c r="G95" s="38" t="s">
        <v>22</v>
      </c>
      <c r="H95" s="39">
        <v>30</v>
      </c>
      <c r="I95" s="40" t="s">
        <v>90</v>
      </c>
      <c r="J95" s="38">
        <v>46037</v>
      </c>
      <c r="K95" s="44">
        <v>41707.24</v>
      </c>
      <c r="L95" s="42" t="s">
        <v>20</v>
      </c>
      <c r="M95" s="18"/>
      <c r="N95" s="44">
        <v>41672.239999999998</v>
      </c>
      <c r="O95" s="7"/>
      <c r="P95" s="21">
        <v>46097</v>
      </c>
      <c r="Q95" s="43">
        <f t="shared" si="6"/>
        <v>31</v>
      </c>
      <c r="R95" s="21">
        <v>46071</v>
      </c>
      <c r="S95" s="26">
        <f t="shared" si="9"/>
        <v>28</v>
      </c>
      <c r="T95" s="29" t="str" cm="1">
        <f t="array" aca="1" ref="T95" ca="1">IFERROR(ROUND(CENTILE.SI.ENS($Q$2:$Q$2202,0.5,$E$2:$E$2202,E95,$Q$2:$Q$2202,"&gt;0"),0),"N/D")</f>
        <v>N/D</v>
      </c>
      <c r="U95" s="74">
        <f t="shared" si="10"/>
        <v>46100</v>
      </c>
    </row>
    <row r="96" spans="1:21" s="40" customFormat="1" ht="11.25" hidden="1" x14ac:dyDescent="0.2">
      <c r="A96" s="5" t="s">
        <v>44</v>
      </c>
      <c r="B96" s="5">
        <v>46073</v>
      </c>
      <c r="C96" s="5"/>
      <c r="D96" s="6">
        <v>202601056</v>
      </c>
      <c r="E96" s="7" t="s">
        <v>35</v>
      </c>
      <c r="F96" s="7" t="s">
        <v>156</v>
      </c>
      <c r="G96" s="8" t="s">
        <v>22</v>
      </c>
      <c r="H96" s="9">
        <v>30</v>
      </c>
      <c r="I96" s="10" t="s">
        <v>157</v>
      </c>
      <c r="J96" s="13">
        <v>46046</v>
      </c>
      <c r="K96" s="14">
        <v>40490</v>
      </c>
      <c r="L96" s="15" t="s">
        <v>20</v>
      </c>
      <c r="M96" s="18"/>
      <c r="N96" s="44">
        <v>20380</v>
      </c>
      <c r="O96" s="7" t="s">
        <v>387</v>
      </c>
      <c r="P96" s="21">
        <v>46139</v>
      </c>
      <c r="Q96" s="43">
        <f t="shared" si="6"/>
        <v>66</v>
      </c>
      <c r="R96" s="22">
        <v>46066</v>
      </c>
      <c r="S96" s="26">
        <f t="shared" si="9"/>
        <v>28</v>
      </c>
      <c r="T96" s="29" t="str" cm="1">
        <f t="array" aca="1" ref="T96" ca="1">IFERROR(ROUND(CENTILE.SI.ENS($Q$2:$Q$2202,0.5,$E$2:$E$2202,E96,$Q$2:$Q$2202,"&gt;0"),0),"N/D")</f>
        <v>N/D</v>
      </c>
      <c r="U96" s="74">
        <f t="shared" si="10"/>
        <v>46107</v>
      </c>
    </row>
    <row r="97" spans="1:21" s="40" customFormat="1" ht="11.25" hidden="1" x14ac:dyDescent="0.2">
      <c r="A97" s="35" t="s">
        <v>55</v>
      </c>
      <c r="B97" s="35">
        <v>46073</v>
      </c>
      <c r="C97" s="35"/>
      <c r="D97" s="36">
        <v>1</v>
      </c>
      <c r="E97" s="37" t="s">
        <v>30</v>
      </c>
      <c r="F97" s="37" t="s">
        <v>31</v>
      </c>
      <c r="G97" s="38" t="s">
        <v>32</v>
      </c>
      <c r="H97" s="39">
        <v>45</v>
      </c>
      <c r="I97" s="40" t="s">
        <v>33</v>
      </c>
      <c r="J97" s="38">
        <v>46031</v>
      </c>
      <c r="K97" s="41">
        <v>69461.38</v>
      </c>
      <c r="L97" s="42" t="s">
        <v>34</v>
      </c>
      <c r="M97" s="18">
        <v>46077</v>
      </c>
      <c r="N97" s="44"/>
      <c r="O97" s="7"/>
      <c r="P97" s="21">
        <v>46070</v>
      </c>
      <c r="Q97" s="43">
        <f t="shared" si="6"/>
        <v>-3</v>
      </c>
      <c r="R97" s="21">
        <v>46063</v>
      </c>
      <c r="S97" s="26">
        <f t="shared" si="9"/>
        <v>1</v>
      </c>
      <c r="T97" s="29" t="str" cm="1">
        <f t="array" aca="1" ref="T97" ca="1">IFERROR(ROUND(CENTILE.SI.ENS($Q$2:$Q$2202,0.5,$E$2:$E$2202,E97,$Q$2:$Q$2202,"&gt;0"),0),"N/D")</f>
        <v>N/D</v>
      </c>
      <c r="U97" s="74">
        <f t="shared" si="10"/>
        <v>46074</v>
      </c>
    </row>
    <row r="98" spans="1:21" s="40" customFormat="1" ht="11.25" hidden="1" x14ac:dyDescent="0.2">
      <c r="A98" s="35" t="s">
        <v>55</v>
      </c>
      <c r="B98" s="35">
        <v>46094</v>
      </c>
      <c r="C98" s="35"/>
      <c r="D98" s="36">
        <v>11</v>
      </c>
      <c r="E98" s="37" t="s">
        <v>30</v>
      </c>
      <c r="F98" s="37" t="s">
        <v>31</v>
      </c>
      <c r="G98" s="38" t="s">
        <v>32</v>
      </c>
      <c r="H98" s="39">
        <v>45</v>
      </c>
      <c r="I98" s="40" t="s">
        <v>33</v>
      </c>
      <c r="J98" s="38">
        <v>46052</v>
      </c>
      <c r="K98" s="41">
        <v>94930.09</v>
      </c>
      <c r="L98" s="42" t="s">
        <v>34</v>
      </c>
      <c r="M98" s="18">
        <v>46098</v>
      </c>
      <c r="N98" s="44"/>
      <c r="O98" s="7"/>
      <c r="P98" s="21">
        <v>46094</v>
      </c>
      <c r="Q98" s="43">
        <f t="shared" si="6"/>
        <v>0</v>
      </c>
      <c r="R98" s="21">
        <v>46084</v>
      </c>
      <c r="S98" s="26">
        <f t="shared" si="9"/>
        <v>1</v>
      </c>
      <c r="T98" s="29" t="str" cm="1">
        <f t="array" aca="1" ref="T98" ca="1">IFERROR(ROUND(CENTILE.SI.ENS($Q$2:$Q$2202,0.5,$E$2:$E$2202,E98,$Q$2:$Q$2202,"&gt;0"),0),"N/D")</f>
        <v>N/D</v>
      </c>
      <c r="U98" s="74">
        <f t="shared" si="10"/>
        <v>46095</v>
      </c>
    </row>
    <row r="99" spans="1:21" s="40" customFormat="1" ht="11.25" hidden="1" x14ac:dyDescent="0.2">
      <c r="A99" s="5" t="s">
        <v>55</v>
      </c>
      <c r="B99" s="5">
        <v>46164</v>
      </c>
      <c r="C99" s="5"/>
      <c r="D99" s="6">
        <v>32</v>
      </c>
      <c r="E99" s="7" t="s">
        <v>30</v>
      </c>
      <c r="F99" s="7" t="s">
        <v>361</v>
      </c>
      <c r="G99" s="8" t="s">
        <v>32</v>
      </c>
      <c r="H99" s="9">
        <v>45</v>
      </c>
      <c r="I99" s="7" t="s">
        <v>33</v>
      </c>
      <c r="J99" s="13">
        <v>46122</v>
      </c>
      <c r="K99" s="24">
        <v>248748.11</v>
      </c>
      <c r="L99" s="15" t="s">
        <v>34</v>
      </c>
      <c r="M99" s="18">
        <v>46171</v>
      </c>
      <c r="N99" s="44"/>
      <c r="O99" s="7"/>
      <c r="P99" s="21">
        <v>46171</v>
      </c>
      <c r="Q99" s="43">
        <f t="shared" ref="Q99:Q130" si="11">IF(P99="","En attente paiement",P99-B99)</f>
        <v>7</v>
      </c>
      <c r="R99" s="22">
        <v>46149</v>
      </c>
      <c r="S99" s="26">
        <f t="shared" si="9"/>
        <v>1</v>
      </c>
      <c r="T99" s="29" t="str" cm="1">
        <f t="array" aca="1" ref="T99" ca="1">IFERROR(ROUND(CENTILE.SI.ENS($Q$2:$Q$2202,0.5,$E$2:$E$2202,E99,$Q$2:$Q$2202,"&gt;0"),0),"N/D")</f>
        <v>N/D</v>
      </c>
      <c r="U99" s="74">
        <f t="shared" si="10"/>
        <v>46165</v>
      </c>
    </row>
    <row r="100" spans="1:21" s="75" customFormat="1" hidden="1" x14ac:dyDescent="0.2">
      <c r="A100" s="5" t="s">
        <v>55</v>
      </c>
      <c r="B100" s="5">
        <v>46255</v>
      </c>
      <c r="C100" s="5"/>
      <c r="D100" s="6">
        <v>50</v>
      </c>
      <c r="E100" s="7" t="s">
        <v>30</v>
      </c>
      <c r="F100" s="7" t="s">
        <v>361</v>
      </c>
      <c r="G100" s="8" t="s">
        <v>32</v>
      </c>
      <c r="H100" s="9">
        <v>45</v>
      </c>
      <c r="I100" s="7" t="s">
        <v>518</v>
      </c>
      <c r="J100" s="13">
        <v>46213</v>
      </c>
      <c r="K100" s="14">
        <v>55775.06</v>
      </c>
      <c r="L100" s="15" t="s">
        <v>34</v>
      </c>
      <c r="M100" s="16"/>
      <c r="N100" s="44"/>
      <c r="O100" s="17"/>
      <c r="P100" s="21">
        <v>46253</v>
      </c>
      <c r="Q100" s="43">
        <f t="shared" si="11"/>
        <v>-2</v>
      </c>
      <c r="R100" s="22">
        <v>46244</v>
      </c>
      <c r="S100" s="26">
        <f t="shared" si="9"/>
        <v>1</v>
      </c>
      <c r="T100" s="29" t="str" cm="1">
        <f t="array" aca="1" ref="T100" ca="1">IFERROR(ROUND(CENTILE.SI.ENS($Q$2:$Q$2202,0.5,$E$2:$E$2202,E100,$Q$2:$Q$2202,"&gt;0"),0),"N/D")</f>
        <v>N/D</v>
      </c>
      <c r="U100" s="74">
        <f t="shared" si="10"/>
        <v>46256</v>
      </c>
    </row>
    <row r="101" spans="1:21" s="40" customFormat="1" ht="11.25" hidden="1" x14ac:dyDescent="0.2">
      <c r="A101" s="5" t="s">
        <v>85</v>
      </c>
      <c r="B101" s="5">
        <v>46153</v>
      </c>
      <c r="C101" s="5"/>
      <c r="D101" s="6">
        <v>23</v>
      </c>
      <c r="E101" s="7" t="s">
        <v>310</v>
      </c>
      <c r="F101" s="7" t="s">
        <v>311</v>
      </c>
      <c r="G101" s="8" t="s">
        <v>22</v>
      </c>
      <c r="H101" s="9">
        <v>60</v>
      </c>
      <c r="I101" s="7" t="s">
        <v>312</v>
      </c>
      <c r="J101" s="13">
        <v>46094</v>
      </c>
      <c r="K101" s="24">
        <v>142480.15</v>
      </c>
      <c r="L101" s="15" t="s">
        <v>34</v>
      </c>
      <c r="M101" s="18">
        <v>46161</v>
      </c>
      <c r="N101" s="44">
        <v>111800</v>
      </c>
      <c r="O101" s="81">
        <f>+K101-N101</f>
        <v>30680.149999999994</v>
      </c>
      <c r="P101" s="21">
        <v>46195</v>
      </c>
      <c r="Q101" s="43">
        <f t="shared" si="11"/>
        <v>42</v>
      </c>
      <c r="R101" s="22">
        <v>46129</v>
      </c>
      <c r="S101" s="26">
        <f t="shared" si="9"/>
        <v>42</v>
      </c>
      <c r="T101" s="29" t="str" cm="1">
        <f t="array" aca="1" ref="T101" ca="1">IFERROR(ROUND(CENTILE.SI.ENS($Q$2:$Q$2202,0.5,$E$2:$E$2202,E101,$Q$2:$Q$2202,"&gt;0"),0),"N/D")</f>
        <v>N/D</v>
      </c>
      <c r="U101" s="74">
        <f t="shared" si="10"/>
        <v>46204</v>
      </c>
    </row>
    <row r="102" spans="1:21" s="75" customFormat="1" ht="14.25" hidden="1" customHeight="1" x14ac:dyDescent="0.2">
      <c r="A102" s="5" t="s">
        <v>58</v>
      </c>
      <c r="B102" s="5">
        <v>46133</v>
      </c>
      <c r="C102" s="5"/>
      <c r="D102" s="6">
        <v>202603044</v>
      </c>
      <c r="E102" s="7" t="s">
        <v>331</v>
      </c>
      <c r="F102" s="7" t="s">
        <v>332</v>
      </c>
      <c r="G102" s="8" t="s">
        <v>22</v>
      </c>
      <c r="H102" s="9">
        <v>30</v>
      </c>
      <c r="I102" s="7" t="s">
        <v>48</v>
      </c>
      <c r="J102" s="13">
        <v>46104</v>
      </c>
      <c r="K102" s="24">
        <v>609860.06000000006</v>
      </c>
      <c r="L102" s="15" t="s">
        <v>20</v>
      </c>
      <c r="M102" s="18">
        <v>46147</v>
      </c>
      <c r="N102" s="44"/>
      <c r="O102" s="7"/>
      <c r="P102" s="21">
        <v>46133</v>
      </c>
      <c r="Q102" s="43">
        <f t="shared" si="11"/>
        <v>0</v>
      </c>
      <c r="R102" s="22">
        <v>46133</v>
      </c>
      <c r="S102" s="26">
        <f t="shared" si="9"/>
        <v>0</v>
      </c>
      <c r="T102" s="29" t="str" cm="1">
        <f t="array" aca="1" ref="T102" ca="1">IFERROR(ROUND(CENTILE.SI.ENS($Q$2:$Q$2202,0.5,$E$2:$E$2202,E102,$Q$2:$Q$2202,"&gt;0"),0),"N/D")</f>
        <v>N/D</v>
      </c>
      <c r="U102" s="74">
        <f t="shared" si="10"/>
        <v>46133</v>
      </c>
    </row>
    <row r="103" spans="1:21" s="40" customFormat="1" ht="14.25" hidden="1" customHeight="1" x14ac:dyDescent="0.2">
      <c r="A103" s="35" t="s">
        <v>18</v>
      </c>
      <c r="B103" s="35">
        <v>46087</v>
      </c>
      <c r="C103" s="35"/>
      <c r="D103" s="36">
        <v>202602049</v>
      </c>
      <c r="E103" s="37" t="s">
        <v>243</v>
      </c>
      <c r="F103" s="37" t="s">
        <v>234</v>
      </c>
      <c r="G103" s="38" t="s">
        <v>22</v>
      </c>
      <c r="H103" s="39">
        <v>21</v>
      </c>
      <c r="I103" s="40" t="s">
        <v>235</v>
      </c>
      <c r="J103" s="38">
        <v>46066</v>
      </c>
      <c r="K103" s="44">
        <v>747.92</v>
      </c>
      <c r="L103" s="42" t="s">
        <v>20</v>
      </c>
      <c r="M103" s="18"/>
      <c r="N103" s="44"/>
      <c r="O103" s="7" t="s">
        <v>244</v>
      </c>
      <c r="P103" s="21">
        <v>46087</v>
      </c>
      <c r="Q103" s="43">
        <f t="shared" si="11"/>
        <v>0</v>
      </c>
      <c r="R103" s="21" t="s">
        <v>99</v>
      </c>
      <c r="S103" s="26">
        <f t="shared" si="9"/>
        <v>0</v>
      </c>
      <c r="T103" s="29" t="str" cm="1">
        <f t="array" aca="1" ref="T103" ca="1">IFERROR(ROUND(CENTILE.SI.ENS($Q$2:$Q$2202,0.5,$E$2:$E$2202,E103,$Q$2:$Q$2202,"&gt;0"),0),"N/D")</f>
        <v>N/D</v>
      </c>
      <c r="U103" s="74">
        <f t="shared" si="10"/>
        <v>46087</v>
      </c>
    </row>
    <row r="104" spans="1:21" s="75" customFormat="1" ht="14.25" hidden="1" customHeight="1" x14ac:dyDescent="0.2">
      <c r="A104" s="35" t="s">
        <v>58</v>
      </c>
      <c r="B104" s="35">
        <v>46052</v>
      </c>
      <c r="C104" s="35">
        <v>46056</v>
      </c>
      <c r="D104" s="36">
        <v>202601060</v>
      </c>
      <c r="E104" s="37" t="s">
        <v>143</v>
      </c>
      <c r="F104" s="37" t="s">
        <v>173</v>
      </c>
      <c r="G104" s="38" t="s">
        <v>65</v>
      </c>
      <c r="H104" s="39">
        <v>7</v>
      </c>
      <c r="I104" s="40" t="s">
        <v>169</v>
      </c>
      <c r="J104" s="38">
        <v>46046</v>
      </c>
      <c r="K104" s="44">
        <v>424764.1</v>
      </c>
      <c r="L104" s="42" t="s">
        <v>20</v>
      </c>
      <c r="M104" s="18"/>
      <c r="N104" s="44">
        <v>424739.1</v>
      </c>
      <c r="O104" s="7" t="s">
        <v>174</v>
      </c>
      <c r="P104" s="21">
        <v>46058</v>
      </c>
      <c r="Q104" s="43">
        <f t="shared" si="11"/>
        <v>6</v>
      </c>
      <c r="R104" s="21">
        <v>46076</v>
      </c>
      <c r="S104" s="26">
        <f t="shared" si="9"/>
        <v>3</v>
      </c>
      <c r="T104" s="29" t="str" cm="1">
        <f t="array" aca="1" ref="T104" ca="1">IFERROR(ROUND(CENTILE.SI.ENS($Q$2:$Q$2202,0.5,$E$2:$E$2202,E104,$Q$2:$Q$2202,"&gt;0"),0),"N/D")</f>
        <v>N/D</v>
      </c>
      <c r="U104" s="74">
        <f t="shared" si="10"/>
        <v>46056</v>
      </c>
    </row>
    <row r="105" spans="1:21" s="40" customFormat="1" ht="14.25" hidden="1" customHeight="1" x14ac:dyDescent="0.2">
      <c r="A105" s="35" t="s">
        <v>58</v>
      </c>
      <c r="B105" s="35">
        <v>46066</v>
      </c>
      <c r="C105" s="35"/>
      <c r="D105" s="36">
        <v>202601042</v>
      </c>
      <c r="E105" s="37" t="s">
        <v>143</v>
      </c>
      <c r="F105" s="37" t="s">
        <v>144</v>
      </c>
      <c r="G105" s="38" t="s">
        <v>19</v>
      </c>
      <c r="H105" s="39">
        <v>21</v>
      </c>
      <c r="I105" s="40" t="s">
        <v>145</v>
      </c>
      <c r="J105" s="38">
        <v>46046</v>
      </c>
      <c r="K105" s="44">
        <v>584406.59</v>
      </c>
      <c r="L105" s="42" t="s">
        <v>20</v>
      </c>
      <c r="M105" s="18"/>
      <c r="N105" s="44">
        <v>584375.59</v>
      </c>
      <c r="O105" s="7"/>
      <c r="P105" s="21">
        <v>46066</v>
      </c>
      <c r="Q105" s="43">
        <f t="shared" si="11"/>
        <v>0</v>
      </c>
      <c r="R105" s="21">
        <v>46069</v>
      </c>
      <c r="S105" s="26">
        <f t="shared" si="9"/>
        <v>3</v>
      </c>
      <c r="T105" s="29" t="str" cm="1">
        <f t="array" aca="1" ref="T105" ca="1">IFERROR(ROUND(CENTILE.SI.ENS($Q$2:$Q$2202,0.5,$E$2:$E$2202,E105,$Q$2:$Q$2202,"&gt;0"),0),"N/D")</f>
        <v>N/D</v>
      </c>
      <c r="U105" s="74">
        <f t="shared" si="10"/>
        <v>46070</v>
      </c>
    </row>
    <row r="106" spans="1:21" s="40" customFormat="1" ht="14.25" hidden="1" customHeight="1" x14ac:dyDescent="0.2">
      <c r="A106" s="5" t="s">
        <v>58</v>
      </c>
      <c r="B106" s="5">
        <v>46136</v>
      </c>
      <c r="C106" s="5">
        <v>46139</v>
      </c>
      <c r="D106" s="6">
        <v>202604035</v>
      </c>
      <c r="E106" s="7" t="s">
        <v>143</v>
      </c>
      <c r="F106" s="7" t="s">
        <v>144</v>
      </c>
      <c r="G106" s="8" t="s">
        <v>19</v>
      </c>
      <c r="H106" s="9">
        <v>10</v>
      </c>
      <c r="I106" s="7" t="s">
        <v>145</v>
      </c>
      <c r="J106" s="13">
        <v>46128</v>
      </c>
      <c r="K106" s="24">
        <v>321682.28999999998</v>
      </c>
      <c r="L106" s="15" t="s">
        <v>20</v>
      </c>
      <c r="M106" s="18">
        <v>46155</v>
      </c>
      <c r="N106" s="44"/>
      <c r="O106" s="7" t="s">
        <v>392</v>
      </c>
      <c r="P106" s="21">
        <v>46141</v>
      </c>
      <c r="Q106" s="43">
        <f t="shared" si="11"/>
        <v>5</v>
      </c>
      <c r="R106" s="21">
        <v>46142</v>
      </c>
      <c r="S106" s="26">
        <f t="shared" si="9"/>
        <v>3</v>
      </c>
      <c r="T106" s="29" t="str" cm="1">
        <f t="array" aca="1" ref="T106" ca="1">IFERROR(ROUND(CENTILE.SI.ENS($Q$2:$Q$2202,0.5,$E$2:$E$2202,E106,$Q$2:$Q$2202,"&gt;0"),0),"N/D")</f>
        <v>N/D</v>
      </c>
      <c r="U106" s="74">
        <f t="shared" si="10"/>
        <v>46140</v>
      </c>
    </row>
    <row r="107" spans="1:21" s="40" customFormat="1" ht="14.25" hidden="1" customHeight="1" x14ac:dyDescent="0.2">
      <c r="A107" s="5" t="s">
        <v>58</v>
      </c>
      <c r="B107" s="5">
        <v>46153</v>
      </c>
      <c r="C107" s="5"/>
      <c r="D107" s="6">
        <v>202605010</v>
      </c>
      <c r="E107" s="7" t="s">
        <v>143</v>
      </c>
      <c r="F107" s="7" t="s">
        <v>173</v>
      </c>
      <c r="G107" s="8" t="s">
        <v>65</v>
      </c>
      <c r="H107" s="9">
        <v>5</v>
      </c>
      <c r="I107" s="7" t="s">
        <v>412</v>
      </c>
      <c r="J107" s="13">
        <v>46148</v>
      </c>
      <c r="K107" s="14">
        <v>173244</v>
      </c>
      <c r="L107" s="15" t="s">
        <v>20</v>
      </c>
      <c r="M107" s="18"/>
      <c r="N107" s="44"/>
      <c r="O107" s="7"/>
      <c r="P107" s="21">
        <v>46153</v>
      </c>
      <c r="Q107" s="43">
        <f t="shared" si="11"/>
        <v>0</v>
      </c>
      <c r="R107" s="22">
        <v>46162</v>
      </c>
      <c r="S107" s="26">
        <f t="shared" si="9"/>
        <v>3</v>
      </c>
      <c r="T107" s="29" t="str" cm="1">
        <f t="array" aca="1" ref="T107" ca="1">IFERROR(ROUND(CENTILE.SI.ENS($Q$2:$Q$2202,0.5,$E$2:$E$2202,E107,$Q$2:$Q$2202,"&gt;0"),0),"N/D")</f>
        <v>N/D</v>
      </c>
      <c r="U107" s="74">
        <f t="shared" si="10"/>
        <v>46157</v>
      </c>
    </row>
    <row r="108" spans="1:21" s="40" customFormat="1" ht="14.25" hidden="1" customHeight="1" x14ac:dyDescent="0.2">
      <c r="A108" s="5" t="s">
        <v>85</v>
      </c>
      <c r="B108" s="5">
        <v>46115</v>
      </c>
      <c r="C108" s="5"/>
      <c r="D108" s="6">
        <v>202603032</v>
      </c>
      <c r="E108" s="7" t="s">
        <v>298</v>
      </c>
      <c r="F108" s="7" t="s">
        <v>297</v>
      </c>
      <c r="G108" s="8" t="s">
        <v>131</v>
      </c>
      <c r="H108" s="9">
        <v>15</v>
      </c>
      <c r="I108" s="10" t="s">
        <v>299</v>
      </c>
      <c r="J108" s="13">
        <v>46100</v>
      </c>
      <c r="K108" s="14">
        <v>252807.03</v>
      </c>
      <c r="L108" s="15" t="s">
        <v>20</v>
      </c>
      <c r="M108" s="18"/>
      <c r="N108" s="44"/>
      <c r="O108" s="7"/>
      <c r="P108" s="21">
        <v>46118</v>
      </c>
      <c r="Q108" s="43">
        <f t="shared" si="11"/>
        <v>3</v>
      </c>
      <c r="R108" s="22">
        <v>46101</v>
      </c>
      <c r="S108" s="26">
        <f t="shared" si="9"/>
        <v>4</v>
      </c>
      <c r="T108" s="29" t="str" cm="1">
        <f t="array" aca="1" ref="T108" ca="1">IFERROR(ROUND(CENTILE.SI.ENS($Q$2:$Q$2202,0.5,$E$2:$E$2202,E108,$Q$2:$Q$2202,"&gt;0"),0),"N/D")</f>
        <v>N/D</v>
      </c>
      <c r="U108" s="74">
        <f t="shared" si="10"/>
        <v>46120</v>
      </c>
    </row>
    <row r="109" spans="1:21" s="40" customFormat="1" ht="14.25" hidden="1" customHeight="1" x14ac:dyDescent="0.2">
      <c r="A109" s="5" t="s">
        <v>85</v>
      </c>
      <c r="B109" s="5">
        <v>46115</v>
      </c>
      <c r="C109" s="5"/>
      <c r="D109" s="6">
        <v>202603033</v>
      </c>
      <c r="E109" s="7" t="s">
        <v>298</v>
      </c>
      <c r="F109" s="7" t="s">
        <v>303</v>
      </c>
      <c r="G109" s="8" t="s">
        <v>131</v>
      </c>
      <c r="H109" s="9">
        <v>15</v>
      </c>
      <c r="I109" s="10" t="s">
        <v>299</v>
      </c>
      <c r="J109" s="13">
        <v>46101</v>
      </c>
      <c r="K109" s="14">
        <v>626331.77</v>
      </c>
      <c r="L109" s="15" t="s">
        <v>20</v>
      </c>
      <c r="M109" s="18"/>
      <c r="N109" s="44"/>
      <c r="O109" s="7"/>
      <c r="P109" s="21">
        <v>46118</v>
      </c>
      <c r="Q109" s="43">
        <f t="shared" si="11"/>
        <v>3</v>
      </c>
      <c r="R109" s="22">
        <v>46104</v>
      </c>
      <c r="S109" s="26">
        <f t="shared" si="9"/>
        <v>4</v>
      </c>
      <c r="T109" s="29" t="str" cm="1">
        <f t="array" aca="1" ref="T109" ca="1">IFERROR(ROUND(CENTILE.SI.ENS($Q$2:$Q$2202,0.5,$E$2:$E$2202,E109,$Q$2:$Q$2202,"&gt;0"),0),"N/D")</f>
        <v>N/D</v>
      </c>
      <c r="U109" s="74">
        <f t="shared" si="10"/>
        <v>46120</v>
      </c>
    </row>
    <row r="110" spans="1:21" s="75" customFormat="1" ht="14.25" hidden="1" customHeight="1" x14ac:dyDescent="0.2">
      <c r="A110" s="5" t="s">
        <v>58</v>
      </c>
      <c r="B110" s="5">
        <v>46122</v>
      </c>
      <c r="C110" s="5"/>
      <c r="D110" s="6">
        <v>202603041</v>
      </c>
      <c r="E110" s="7" t="s">
        <v>298</v>
      </c>
      <c r="F110" s="7" t="s">
        <v>318</v>
      </c>
      <c r="G110" s="8" t="s">
        <v>131</v>
      </c>
      <c r="H110" s="9">
        <v>15</v>
      </c>
      <c r="I110" s="10" t="s">
        <v>101</v>
      </c>
      <c r="J110" s="13">
        <v>46109</v>
      </c>
      <c r="K110" s="24">
        <v>553929.61</v>
      </c>
      <c r="L110" s="15" t="s">
        <v>20</v>
      </c>
      <c r="M110" s="18">
        <v>46134</v>
      </c>
      <c r="N110" s="44"/>
      <c r="O110" s="7"/>
      <c r="P110" s="21">
        <v>46121</v>
      </c>
      <c r="Q110" s="43">
        <f t="shared" si="11"/>
        <v>-1</v>
      </c>
      <c r="R110" s="22">
        <v>46107</v>
      </c>
      <c r="S110" s="26">
        <f t="shared" si="9"/>
        <v>4</v>
      </c>
      <c r="T110" s="29" t="str" cm="1">
        <f t="array" aca="1" ref="T110" ca="1">IFERROR(ROUND(CENTILE.SI.ENS($Q$2:$Q$2202,0.5,$E$2:$E$2202,E110,$Q$2:$Q$2202,"&gt;0"),0),"N/D")</f>
        <v>N/D</v>
      </c>
      <c r="U110" s="74">
        <f t="shared" si="10"/>
        <v>46127</v>
      </c>
    </row>
    <row r="111" spans="1:21" s="40" customFormat="1" ht="14.25" hidden="1" customHeight="1" x14ac:dyDescent="0.2">
      <c r="A111" s="5" t="s">
        <v>85</v>
      </c>
      <c r="B111" s="5">
        <v>46141</v>
      </c>
      <c r="C111" s="5"/>
      <c r="D111" s="6">
        <v>202604014</v>
      </c>
      <c r="E111" s="75" t="s">
        <v>298</v>
      </c>
      <c r="F111" s="7" t="s">
        <v>360</v>
      </c>
      <c r="G111" s="8" t="s">
        <v>131</v>
      </c>
      <c r="H111" s="9">
        <v>15</v>
      </c>
      <c r="I111" s="10" t="s">
        <v>88</v>
      </c>
      <c r="J111" s="13">
        <v>46126</v>
      </c>
      <c r="K111" s="14">
        <v>93774.080000000002</v>
      </c>
      <c r="L111" s="15" t="s">
        <v>20</v>
      </c>
      <c r="M111" s="18"/>
      <c r="N111" s="44"/>
      <c r="O111" s="7"/>
      <c r="P111" s="21">
        <v>46148</v>
      </c>
      <c r="Q111" s="43">
        <f t="shared" si="11"/>
        <v>7</v>
      </c>
      <c r="R111" s="21">
        <v>46128</v>
      </c>
      <c r="S111" s="26">
        <f t="shared" si="9"/>
        <v>4</v>
      </c>
      <c r="T111" s="29" t="str" cm="1">
        <f t="array" aca="1" ref="T111" ca="1">IFERROR(ROUND(CENTILE.SI.ENS($Q$2:$Q$2202,0.5,$E$2:$E$2202,E111,$Q$2:$Q$2202,"&gt;0"),0),"N/D")</f>
        <v>N/D</v>
      </c>
      <c r="U111" s="74">
        <f t="shared" si="10"/>
        <v>46146</v>
      </c>
    </row>
    <row r="112" spans="1:21" s="75" customFormat="1" ht="14.25" hidden="1" customHeight="1" x14ac:dyDescent="0.2">
      <c r="A112" s="5" t="s">
        <v>85</v>
      </c>
      <c r="B112" s="5">
        <v>46164</v>
      </c>
      <c r="C112" s="5"/>
      <c r="D112" s="6">
        <v>202605013</v>
      </c>
      <c r="E112" s="7" t="s">
        <v>298</v>
      </c>
      <c r="F112" s="7" t="s">
        <v>415</v>
      </c>
      <c r="G112" s="8" t="s">
        <v>131</v>
      </c>
      <c r="H112" s="9">
        <v>15</v>
      </c>
      <c r="I112" s="7" t="s">
        <v>88</v>
      </c>
      <c r="J112" s="13">
        <v>46150</v>
      </c>
      <c r="K112" s="14">
        <v>139213.75</v>
      </c>
      <c r="L112" s="15" t="s">
        <v>20</v>
      </c>
      <c r="M112" s="18"/>
      <c r="N112" s="44"/>
      <c r="O112" s="7"/>
      <c r="P112" s="21">
        <v>46171</v>
      </c>
      <c r="Q112" s="43">
        <f t="shared" si="11"/>
        <v>7</v>
      </c>
      <c r="R112" s="22">
        <v>46153</v>
      </c>
      <c r="S112" s="26">
        <f t="shared" si="9"/>
        <v>4</v>
      </c>
      <c r="T112" s="29" t="str" cm="1">
        <f t="array" aca="1" ref="T112" ca="1">IFERROR(ROUND(CENTILE.SI.ENS($Q$2:$Q$2202,0.5,$E$2:$E$2202,E112,$Q$2:$Q$2202,"&gt;0"),0),"N/D")</f>
        <v>N/D</v>
      </c>
      <c r="U112" s="74">
        <f t="shared" si="10"/>
        <v>46169</v>
      </c>
    </row>
    <row r="113" spans="1:21" s="75" customFormat="1" ht="14.25" hidden="1" customHeight="1" x14ac:dyDescent="0.2">
      <c r="A113" s="35" t="s">
        <v>44</v>
      </c>
      <c r="B113" s="35">
        <v>46048</v>
      </c>
      <c r="C113" s="35"/>
      <c r="D113" s="36">
        <v>202601010</v>
      </c>
      <c r="E113" s="37" t="s">
        <v>91</v>
      </c>
      <c r="F113" s="37" t="s">
        <v>92</v>
      </c>
      <c r="G113" s="38" t="s">
        <v>22</v>
      </c>
      <c r="H113" s="39">
        <v>14</v>
      </c>
      <c r="I113" s="40" t="s">
        <v>93</v>
      </c>
      <c r="J113" s="38">
        <v>46035</v>
      </c>
      <c r="K113" s="44">
        <v>42760</v>
      </c>
      <c r="L113" s="42" t="s">
        <v>20</v>
      </c>
      <c r="M113" s="18"/>
      <c r="N113" s="44"/>
      <c r="O113" s="7"/>
      <c r="P113" s="21">
        <v>46049</v>
      </c>
      <c r="Q113" s="43">
        <f t="shared" si="11"/>
        <v>1</v>
      </c>
      <c r="R113" s="21">
        <v>46045</v>
      </c>
      <c r="S113" s="26">
        <f t="shared" si="9"/>
        <v>1</v>
      </c>
      <c r="T113" s="29" t="str" cm="1">
        <f t="array" aca="1" ref="T113" ca="1">IFERROR(ROUND(CENTILE.SI.ENS($Q$2:$Q$2202,0.5,$E$2:$E$2202,E113,$Q$2:$Q$2202,"&gt;0"),0),"N/D")</f>
        <v>N/D</v>
      </c>
      <c r="U113" s="74">
        <f t="shared" si="10"/>
        <v>46050</v>
      </c>
    </row>
    <row r="114" spans="1:21" s="40" customFormat="1" ht="11.25" hidden="1" x14ac:dyDescent="0.2">
      <c r="A114" s="5" t="s">
        <v>58</v>
      </c>
      <c r="B114" s="5">
        <v>46108</v>
      </c>
      <c r="C114" s="5"/>
      <c r="D114" s="6">
        <v>202602058</v>
      </c>
      <c r="E114" s="7" t="s">
        <v>259</v>
      </c>
      <c r="F114" s="7" t="s">
        <v>260</v>
      </c>
      <c r="G114" s="8" t="s">
        <v>22</v>
      </c>
      <c r="H114" s="9">
        <v>30</v>
      </c>
      <c r="I114" s="10" t="s">
        <v>101</v>
      </c>
      <c r="J114" s="13">
        <v>46081</v>
      </c>
      <c r="K114" s="14">
        <v>77725.42</v>
      </c>
      <c r="L114" s="15" t="s">
        <v>20</v>
      </c>
      <c r="M114" s="18"/>
      <c r="N114" s="44"/>
      <c r="O114" s="7"/>
      <c r="P114" s="21">
        <v>46112</v>
      </c>
      <c r="Q114" s="43">
        <f t="shared" si="11"/>
        <v>4</v>
      </c>
      <c r="R114" s="21">
        <v>46113</v>
      </c>
      <c r="S114" s="26">
        <f t="shared" si="9"/>
        <v>5</v>
      </c>
      <c r="T114" s="29" t="str" cm="1">
        <f t="array" aca="1" ref="T114" ca="1">IFERROR(ROUND(CENTILE.SI.ENS($Q$2:$Q$2202,0.5,$E$2:$E$2202,E114,$Q$2:$Q$2202,"&gt;0"),0),"N/D")</f>
        <v>N/D</v>
      </c>
      <c r="U114" s="74">
        <f t="shared" si="10"/>
        <v>46114</v>
      </c>
    </row>
    <row r="115" spans="1:21" s="40" customFormat="1" ht="11.25" hidden="1" x14ac:dyDescent="0.2">
      <c r="A115" s="5" t="s">
        <v>58</v>
      </c>
      <c r="B115" s="5">
        <v>46122</v>
      </c>
      <c r="C115" s="5"/>
      <c r="D115" s="6">
        <v>202603026</v>
      </c>
      <c r="E115" s="7" t="s">
        <v>259</v>
      </c>
      <c r="F115" s="7" t="s">
        <v>292</v>
      </c>
      <c r="G115" s="8" t="s">
        <v>22</v>
      </c>
      <c r="H115" s="9">
        <v>30</v>
      </c>
      <c r="I115" s="10" t="s">
        <v>101</v>
      </c>
      <c r="J115" s="13">
        <v>46093</v>
      </c>
      <c r="K115" s="24">
        <v>589371.64</v>
      </c>
      <c r="L115" s="15" t="s">
        <v>20</v>
      </c>
      <c r="M115" s="18">
        <v>46137</v>
      </c>
      <c r="N115" s="44"/>
      <c r="O115" s="7"/>
      <c r="P115" s="21">
        <v>46113</v>
      </c>
      <c r="Q115" s="43">
        <f t="shared" si="11"/>
        <v>-9</v>
      </c>
      <c r="R115" s="21">
        <v>46114</v>
      </c>
      <c r="S115" s="26">
        <f t="shared" si="9"/>
        <v>5</v>
      </c>
      <c r="T115" s="29" t="str" cm="1">
        <f t="array" aca="1" ref="T115" ca="1">IFERROR(ROUND(CENTILE.SI.ENS($Q$2:$Q$2202,0.5,$E$2:$E$2202,E115,$Q$2:$Q$2202,"&gt;0"),0),"N/D")</f>
        <v>N/D</v>
      </c>
      <c r="U115" s="74">
        <f t="shared" si="10"/>
        <v>46128</v>
      </c>
    </row>
    <row r="116" spans="1:21" s="40" customFormat="1" ht="11.25" hidden="1" x14ac:dyDescent="0.2">
      <c r="A116" s="5" t="s">
        <v>58</v>
      </c>
      <c r="B116" s="5">
        <v>46154</v>
      </c>
      <c r="C116" s="5"/>
      <c r="D116" s="6">
        <v>202604015</v>
      </c>
      <c r="E116" s="7" t="s">
        <v>259</v>
      </c>
      <c r="F116" s="7" t="s">
        <v>359</v>
      </c>
      <c r="G116" s="8" t="s">
        <v>22</v>
      </c>
      <c r="H116" s="9">
        <v>30</v>
      </c>
      <c r="I116" s="7" t="s">
        <v>101</v>
      </c>
      <c r="J116" s="13">
        <v>46125</v>
      </c>
      <c r="K116" s="14">
        <v>404900</v>
      </c>
      <c r="L116" s="15" t="s">
        <v>20</v>
      </c>
      <c r="M116" s="18"/>
      <c r="N116" s="44"/>
      <c r="O116" s="7" t="s">
        <v>431</v>
      </c>
      <c r="P116" s="21">
        <v>46168</v>
      </c>
      <c r="Q116" s="43">
        <f t="shared" si="11"/>
        <v>14</v>
      </c>
      <c r="R116" s="22">
        <v>46119</v>
      </c>
      <c r="S116" s="26">
        <f t="shared" si="9"/>
        <v>5</v>
      </c>
      <c r="T116" s="29" t="str" cm="1">
        <f t="array" aca="1" ref="T116" ca="1">IFERROR(ROUND(CENTILE.SI.ENS($Q$2:$Q$2202,0.5,$E$2:$E$2202,E116,$Q$2:$Q$2202,"&gt;0"),0),"N/D")</f>
        <v>N/D</v>
      </c>
      <c r="U116" s="74">
        <f t="shared" si="10"/>
        <v>46160</v>
      </c>
    </row>
    <row r="117" spans="1:21" s="75" customFormat="1" ht="11.25" hidden="1" x14ac:dyDescent="0.2">
      <c r="A117" s="5" t="s">
        <v>58</v>
      </c>
      <c r="B117" s="5">
        <v>46163</v>
      </c>
      <c r="C117" s="5"/>
      <c r="D117" s="6">
        <v>202604038</v>
      </c>
      <c r="E117" s="7" t="s">
        <v>259</v>
      </c>
      <c r="F117" s="7" t="s">
        <v>394</v>
      </c>
      <c r="G117" s="8" t="s">
        <v>19</v>
      </c>
      <c r="H117" s="9">
        <v>30</v>
      </c>
      <c r="I117" s="7" t="s">
        <v>101</v>
      </c>
      <c r="J117" s="13">
        <v>46134</v>
      </c>
      <c r="K117" s="24">
        <v>342924</v>
      </c>
      <c r="L117" s="15" t="s">
        <v>20</v>
      </c>
      <c r="M117" s="18">
        <v>46164</v>
      </c>
      <c r="N117" s="44"/>
      <c r="O117" s="7"/>
      <c r="P117" s="21">
        <v>46170</v>
      </c>
      <c r="Q117" s="43">
        <f t="shared" si="11"/>
        <v>7</v>
      </c>
      <c r="R117" s="22">
        <v>46154</v>
      </c>
      <c r="S117" s="26">
        <f t="shared" si="9"/>
        <v>5</v>
      </c>
      <c r="T117" s="29" t="str" cm="1">
        <f t="array" aca="1" ref="T117" ca="1">IFERROR(ROUND(CENTILE.SI.ENS($Q$2:$Q$2202,0.5,$E$2:$E$2202,E117,$Q$2:$Q$2202,"&gt;0"),0),"N/D")</f>
        <v>N/D</v>
      </c>
      <c r="U117" s="74">
        <f t="shared" si="10"/>
        <v>46169</v>
      </c>
    </row>
    <row r="118" spans="1:21" s="75" customFormat="1" hidden="1" x14ac:dyDescent="0.2">
      <c r="A118" s="5" t="s">
        <v>58</v>
      </c>
      <c r="B118" s="5">
        <v>46206</v>
      </c>
      <c r="C118" s="5"/>
      <c r="D118" s="6">
        <v>202606016</v>
      </c>
      <c r="E118" s="7" t="s">
        <v>259</v>
      </c>
      <c r="F118" s="7" t="s">
        <v>292</v>
      </c>
      <c r="G118" s="8" t="s">
        <v>19</v>
      </c>
      <c r="H118" s="9">
        <v>30</v>
      </c>
      <c r="I118" s="7" t="s">
        <v>101</v>
      </c>
      <c r="J118" s="13">
        <v>46178</v>
      </c>
      <c r="K118" s="24">
        <v>640332</v>
      </c>
      <c r="L118" s="15" t="s">
        <v>20</v>
      </c>
      <c r="M118" s="16">
        <v>46212</v>
      </c>
      <c r="N118" s="44"/>
      <c r="O118" s="17"/>
      <c r="P118" s="21">
        <v>46224</v>
      </c>
      <c r="Q118" s="43">
        <f t="shared" si="11"/>
        <v>18</v>
      </c>
      <c r="R118" s="22">
        <v>46195</v>
      </c>
      <c r="S118" s="26">
        <f t="shared" si="9"/>
        <v>5</v>
      </c>
      <c r="T118" s="29" t="str" cm="1">
        <f t="array" aca="1" ref="T118" ca="1">IFERROR(ROUND(CENTILE.SI.ENS($Q$2:$Q$2202,0.5,$E$2:$E$2202,E118,$Q$2:$Q$2202,"&gt;0"),0),"N/D")</f>
        <v>N/D</v>
      </c>
      <c r="U118" s="74">
        <f t="shared" si="10"/>
        <v>46212</v>
      </c>
    </row>
    <row r="119" spans="1:21" s="40" customFormat="1" hidden="1" x14ac:dyDescent="0.2">
      <c r="A119" s="5" t="s">
        <v>58</v>
      </c>
      <c r="B119" s="5">
        <v>46251</v>
      </c>
      <c r="C119" s="5"/>
      <c r="D119" s="6">
        <v>202607028</v>
      </c>
      <c r="E119" s="7" t="s">
        <v>259</v>
      </c>
      <c r="F119" s="7" t="s">
        <v>260</v>
      </c>
      <c r="G119" s="8" t="s">
        <v>19</v>
      </c>
      <c r="H119" s="9">
        <v>30</v>
      </c>
      <c r="I119" s="7" t="s">
        <v>101</v>
      </c>
      <c r="J119" s="13">
        <v>46222</v>
      </c>
      <c r="K119" s="14">
        <v>108350</v>
      </c>
      <c r="L119" s="15" t="s">
        <v>20</v>
      </c>
      <c r="M119" s="16"/>
      <c r="N119" s="44"/>
      <c r="O119" s="17"/>
      <c r="P119" s="21">
        <v>46246</v>
      </c>
      <c r="Q119" s="43">
        <f t="shared" si="11"/>
        <v>-5</v>
      </c>
      <c r="R119" s="22">
        <v>46219</v>
      </c>
      <c r="S119" s="26">
        <f t="shared" si="9"/>
        <v>5</v>
      </c>
      <c r="T119" s="29" t="str" cm="1">
        <f t="array" aca="1" ref="T119" ca="1">IFERROR(ROUND(CENTILE.SI.ENS($Q$2:$Q$2202,0.5,$E$2:$E$2202,E119,$Q$2:$Q$2202,"&gt;0"),0),"N/D")</f>
        <v>N/D</v>
      </c>
      <c r="U119" s="74">
        <f t="shared" si="10"/>
        <v>46257</v>
      </c>
    </row>
    <row r="120" spans="1:21" s="75" customFormat="1" ht="11.25" x14ac:dyDescent="0.2">
      <c r="A120" s="5" t="s">
        <v>268</v>
      </c>
      <c r="B120" s="5">
        <v>46241</v>
      </c>
      <c r="C120" s="5"/>
      <c r="D120" s="6">
        <v>202607067</v>
      </c>
      <c r="E120" s="7" t="s">
        <v>176</v>
      </c>
      <c r="F120" s="7" t="s">
        <v>525</v>
      </c>
      <c r="G120" s="8" t="s">
        <v>131</v>
      </c>
      <c r="H120" s="9">
        <v>30</v>
      </c>
      <c r="I120" s="7" t="s">
        <v>21</v>
      </c>
      <c r="J120" s="13">
        <v>46212</v>
      </c>
      <c r="K120" s="14">
        <v>65637</v>
      </c>
      <c r="L120" s="15" t="s">
        <v>20</v>
      </c>
      <c r="M120" s="18"/>
      <c r="N120" s="14"/>
      <c r="O120" s="7"/>
      <c r="P120" s="21"/>
      <c r="Q120" s="43" t="str">
        <f t="shared" si="11"/>
        <v>En attente paiement</v>
      </c>
      <c r="R120" s="22">
        <v>46244</v>
      </c>
      <c r="S120" s="26">
        <f t="shared" si="9"/>
        <v>7</v>
      </c>
      <c r="T120" s="29" t="str" cm="1">
        <f t="array" aca="1" ref="T120" ca="1">IFERROR(ROUND(CENTILE.SI.ENS($Q$2:$Q$2202,0.5,$E$2:$E$2202,E120,$Q$2:$Q$2202,"&gt;0"),0),"N/D")</f>
        <v>N/D</v>
      </c>
      <c r="U120" s="74">
        <f t="shared" si="10"/>
        <v>46249</v>
      </c>
    </row>
    <row r="121" spans="1:21" s="40" customFormat="1" ht="11.25" hidden="1" x14ac:dyDescent="0.2">
      <c r="A121" s="35" t="s">
        <v>85</v>
      </c>
      <c r="B121" s="35">
        <v>46045</v>
      </c>
      <c r="C121" s="35">
        <v>46048</v>
      </c>
      <c r="D121" s="36">
        <v>202601039</v>
      </c>
      <c r="E121" s="37" t="s">
        <v>135</v>
      </c>
      <c r="F121" s="37" t="s">
        <v>136</v>
      </c>
      <c r="G121" s="38" t="s">
        <v>65</v>
      </c>
      <c r="H121" s="39" t="s">
        <v>137</v>
      </c>
      <c r="I121" s="40" t="s">
        <v>88</v>
      </c>
      <c r="J121" s="38">
        <v>46045</v>
      </c>
      <c r="K121" s="44">
        <v>36953.949999999997</v>
      </c>
      <c r="L121" s="42" t="s">
        <v>20</v>
      </c>
      <c r="M121" s="18"/>
      <c r="N121" s="44">
        <v>36953.949999999997</v>
      </c>
      <c r="O121" s="7"/>
      <c r="P121" s="21">
        <v>46051</v>
      </c>
      <c r="Q121" s="43">
        <f t="shared" si="11"/>
        <v>6</v>
      </c>
      <c r="R121" s="21">
        <v>46051</v>
      </c>
      <c r="S121" s="26">
        <f t="shared" si="9"/>
        <v>6</v>
      </c>
      <c r="T121" s="29" t="str" cm="1">
        <f t="array" aca="1" ref="T121" ca="1">IFERROR(ROUND(CENTILE.SI.ENS($Q$2:$Q$2202,0.5,$E$2:$E$2202,E121,$Q$2:$Q$2202,"&gt;0"),0),"N/D")</f>
        <v>N/D</v>
      </c>
      <c r="U121" s="74">
        <f t="shared" si="10"/>
        <v>46053</v>
      </c>
    </row>
    <row r="122" spans="1:21" s="75" customFormat="1" ht="11.25" hidden="1" x14ac:dyDescent="0.2">
      <c r="A122" s="5" t="s">
        <v>250</v>
      </c>
      <c r="B122" s="5">
        <v>46108</v>
      </c>
      <c r="C122" s="5"/>
      <c r="D122" s="6">
        <v>202602053</v>
      </c>
      <c r="E122" s="7" t="s">
        <v>251</v>
      </c>
      <c r="F122" s="7" t="s">
        <v>252</v>
      </c>
      <c r="G122" s="8" t="s">
        <v>22</v>
      </c>
      <c r="H122" s="9">
        <v>30</v>
      </c>
      <c r="I122" s="10" t="s">
        <v>52</v>
      </c>
      <c r="J122" s="13">
        <v>46080</v>
      </c>
      <c r="K122" s="14">
        <v>28400</v>
      </c>
      <c r="L122" s="15" t="s">
        <v>20</v>
      </c>
      <c r="M122" s="18"/>
      <c r="N122" s="44"/>
      <c r="O122" s="7"/>
      <c r="P122" s="21">
        <v>46119</v>
      </c>
      <c r="Q122" s="43">
        <f t="shared" si="11"/>
        <v>11</v>
      </c>
      <c r="R122" s="22">
        <v>46101</v>
      </c>
      <c r="S122" s="26">
        <f t="shared" si="9"/>
        <v>11</v>
      </c>
      <c r="T122" s="29" t="str" cm="1">
        <f t="array" aca="1" ref="T122" ca="1">IFERROR(ROUND(CENTILE.SI.ENS($Q$2:$Q$2202,0.5,$E$2:$E$2202,E122,$Q$2:$Q$2202,"&gt;0"),0),"N/D")</f>
        <v>N/D</v>
      </c>
      <c r="U122" s="74">
        <f t="shared" si="10"/>
        <v>46122</v>
      </c>
    </row>
    <row r="123" spans="1:21" s="40" customFormat="1" ht="11.25" hidden="1" x14ac:dyDescent="0.2">
      <c r="A123" s="35" t="s">
        <v>58</v>
      </c>
      <c r="B123" s="35">
        <v>46059</v>
      </c>
      <c r="C123" s="35"/>
      <c r="D123" s="36">
        <v>202601011</v>
      </c>
      <c r="E123" s="37" t="s">
        <v>77</v>
      </c>
      <c r="F123" s="37" t="s">
        <v>94</v>
      </c>
      <c r="G123" s="38" t="s">
        <v>22</v>
      </c>
      <c r="H123" s="39">
        <v>30</v>
      </c>
      <c r="I123" s="37" t="s">
        <v>43</v>
      </c>
      <c r="J123" s="38">
        <v>46031</v>
      </c>
      <c r="K123" s="44">
        <v>173682.45</v>
      </c>
      <c r="L123" s="42" t="s">
        <v>20</v>
      </c>
      <c r="M123" s="18"/>
      <c r="N123" s="44">
        <v>173682.45</v>
      </c>
      <c r="O123" s="7" t="s">
        <v>206</v>
      </c>
      <c r="P123" s="21">
        <v>46066</v>
      </c>
      <c r="Q123" s="43">
        <f t="shared" si="11"/>
        <v>7</v>
      </c>
      <c r="R123" s="21">
        <v>46052</v>
      </c>
      <c r="S123" s="26">
        <f t="shared" si="9"/>
        <v>10</v>
      </c>
      <c r="T123" s="29" t="str" cm="1">
        <f t="array" aca="1" ref="T123" ca="1">IFERROR(ROUND(CENTILE.SI.ENS($Q$2:$Q$2202,0.5,$E$2:$E$2202,E123,$Q$2:$Q$2202,"&gt;0"),0),"N/D")</f>
        <v>N/D</v>
      </c>
      <c r="U123" s="74">
        <f t="shared" si="10"/>
        <v>46071</v>
      </c>
    </row>
    <row r="124" spans="1:21" s="75" customFormat="1" ht="11.25" hidden="1" x14ac:dyDescent="0.2">
      <c r="A124" s="35" t="s">
        <v>58</v>
      </c>
      <c r="B124" s="35">
        <v>46069</v>
      </c>
      <c r="C124" s="35"/>
      <c r="D124" s="36">
        <v>202601033</v>
      </c>
      <c r="E124" s="37" t="s">
        <v>77</v>
      </c>
      <c r="F124" s="37" t="s">
        <v>125</v>
      </c>
      <c r="G124" s="38" t="s">
        <v>22</v>
      </c>
      <c r="H124" s="39">
        <v>30</v>
      </c>
      <c r="I124" s="40" t="s">
        <v>43</v>
      </c>
      <c r="J124" s="38">
        <v>46040</v>
      </c>
      <c r="K124" s="44">
        <v>104737.5</v>
      </c>
      <c r="L124" s="42" t="s">
        <v>20</v>
      </c>
      <c r="M124" s="18"/>
      <c r="N124" s="44">
        <v>104737.5</v>
      </c>
      <c r="O124" s="7" t="s">
        <v>222</v>
      </c>
      <c r="P124" s="21">
        <v>46086</v>
      </c>
      <c r="Q124" s="43">
        <f t="shared" si="11"/>
        <v>17</v>
      </c>
      <c r="R124" s="21">
        <v>46062</v>
      </c>
      <c r="S124" s="26">
        <f t="shared" si="9"/>
        <v>10</v>
      </c>
      <c r="T124" s="29" t="str" cm="1">
        <f t="array" aca="1" ref="T124" ca="1">IFERROR(ROUND(CENTILE.SI.ENS($Q$2:$Q$2202,0.5,$E$2:$E$2202,E124,$Q$2:$Q$2202,"&gt;0"),0),"N/D")</f>
        <v>N/D</v>
      </c>
      <c r="U124" s="74">
        <f t="shared" si="10"/>
        <v>46081</v>
      </c>
    </row>
    <row r="125" spans="1:21" s="40" customFormat="1" ht="11.25" hidden="1" x14ac:dyDescent="0.2">
      <c r="A125" s="35" t="s">
        <v>58</v>
      </c>
      <c r="B125" s="35">
        <v>46087</v>
      </c>
      <c r="C125" s="35"/>
      <c r="D125" s="36">
        <v>202602011</v>
      </c>
      <c r="E125" s="37" t="s">
        <v>77</v>
      </c>
      <c r="F125" s="37" t="s">
        <v>194</v>
      </c>
      <c r="G125" s="38" t="s">
        <v>22</v>
      </c>
      <c r="H125" s="39">
        <v>30</v>
      </c>
      <c r="I125" s="40" t="s">
        <v>97</v>
      </c>
      <c r="J125" s="38">
        <v>46058</v>
      </c>
      <c r="K125" s="41">
        <v>193781.12</v>
      </c>
      <c r="L125" s="42" t="s">
        <v>20</v>
      </c>
      <c r="M125" s="18">
        <v>46105</v>
      </c>
      <c r="N125" s="44">
        <v>193781.12</v>
      </c>
      <c r="O125" s="7"/>
      <c r="P125" s="21">
        <v>46098</v>
      </c>
      <c r="Q125" s="43">
        <f t="shared" si="11"/>
        <v>11</v>
      </c>
      <c r="R125" s="21">
        <v>46087</v>
      </c>
      <c r="S125" s="26">
        <f t="shared" si="9"/>
        <v>10</v>
      </c>
      <c r="T125" s="29" t="str" cm="1">
        <f t="array" aca="1" ref="T125" ca="1">IFERROR(ROUND(CENTILE.SI.ENS($Q$2:$Q$2202,0.5,$E$2:$E$2202,E125,$Q$2:$Q$2202,"&gt;0"),0),"N/D")</f>
        <v>N/D</v>
      </c>
      <c r="U125" s="74">
        <f t="shared" si="10"/>
        <v>46099</v>
      </c>
    </row>
    <row r="126" spans="1:21" s="75" customFormat="1" ht="11.25" hidden="1" x14ac:dyDescent="0.2">
      <c r="A126" s="35" t="s">
        <v>58</v>
      </c>
      <c r="B126" s="35">
        <v>46094</v>
      </c>
      <c r="C126" s="35"/>
      <c r="D126" s="36">
        <v>202602035</v>
      </c>
      <c r="E126" s="37" t="s">
        <v>77</v>
      </c>
      <c r="F126" s="37" t="s">
        <v>230</v>
      </c>
      <c r="G126" s="38" t="s">
        <v>22</v>
      </c>
      <c r="H126" s="39">
        <v>30</v>
      </c>
      <c r="I126" s="40" t="s">
        <v>97</v>
      </c>
      <c r="J126" s="38">
        <v>46067</v>
      </c>
      <c r="K126" s="41">
        <v>271305.15000000002</v>
      </c>
      <c r="L126" s="42" t="s">
        <v>20</v>
      </c>
      <c r="M126" s="18">
        <v>46120</v>
      </c>
      <c r="N126" s="44">
        <v>271305.15000000002</v>
      </c>
      <c r="O126" s="7"/>
      <c r="P126" s="21">
        <v>46107</v>
      </c>
      <c r="Q126" s="43">
        <f t="shared" si="11"/>
        <v>13</v>
      </c>
      <c r="R126" s="21">
        <v>46098</v>
      </c>
      <c r="S126" s="26">
        <f t="shared" si="9"/>
        <v>10</v>
      </c>
      <c r="T126" s="29" t="str" cm="1">
        <f t="array" aca="1" ref="T126" ca="1">IFERROR(ROUND(CENTILE.SI.ENS($Q$2:$Q$2202,0.5,$E$2:$E$2202,E126,$Q$2:$Q$2202,"&gt;0"),0),"N/D")</f>
        <v>N/D</v>
      </c>
      <c r="U126" s="74">
        <f t="shared" si="10"/>
        <v>46106</v>
      </c>
    </row>
    <row r="127" spans="1:21" s="75" customFormat="1" ht="11.25" hidden="1" x14ac:dyDescent="0.2">
      <c r="A127" s="5" t="s">
        <v>58</v>
      </c>
      <c r="B127" s="5">
        <v>46115</v>
      </c>
      <c r="C127" s="5"/>
      <c r="D127" s="6">
        <v>202603004</v>
      </c>
      <c r="E127" s="7" t="s">
        <v>77</v>
      </c>
      <c r="F127" s="7" t="s">
        <v>258</v>
      </c>
      <c r="G127" s="8" t="s">
        <v>22</v>
      </c>
      <c r="H127" s="9">
        <v>30</v>
      </c>
      <c r="I127" s="10" t="s">
        <v>97</v>
      </c>
      <c r="J127" s="13">
        <v>46086</v>
      </c>
      <c r="K127" s="24">
        <v>357410.9</v>
      </c>
      <c r="L127" s="15" t="s">
        <v>20</v>
      </c>
      <c r="M127" s="18">
        <v>46140</v>
      </c>
      <c r="N127" s="44"/>
      <c r="O127" s="7"/>
      <c r="P127" s="21">
        <v>46129</v>
      </c>
      <c r="Q127" s="43">
        <f t="shared" si="11"/>
        <v>14</v>
      </c>
      <c r="R127" s="22">
        <v>46126</v>
      </c>
      <c r="S127" s="26">
        <f t="shared" si="9"/>
        <v>10</v>
      </c>
      <c r="T127" s="29" t="str" cm="1">
        <f t="array" aca="1" ref="T127" ca="1">IFERROR(ROUND(CENTILE.SI.ENS($Q$2:$Q$2202,0.5,$E$2:$E$2202,E127,$Q$2:$Q$2202,"&gt;0"),0),"N/D")</f>
        <v>N/D</v>
      </c>
      <c r="U127" s="74">
        <f t="shared" si="10"/>
        <v>46127</v>
      </c>
    </row>
    <row r="128" spans="1:21" s="40" customFormat="1" ht="11.25" hidden="1" x14ac:dyDescent="0.2">
      <c r="A128" s="5" t="s">
        <v>58</v>
      </c>
      <c r="B128" s="5">
        <v>46115</v>
      </c>
      <c r="C128" s="5"/>
      <c r="D128" s="6">
        <v>202603008</v>
      </c>
      <c r="E128" s="7" t="s">
        <v>77</v>
      </c>
      <c r="F128" s="7" t="s">
        <v>266</v>
      </c>
      <c r="G128" s="8" t="s">
        <v>22</v>
      </c>
      <c r="H128" s="9">
        <v>30</v>
      </c>
      <c r="I128" s="10" t="s">
        <v>193</v>
      </c>
      <c r="J128" s="13">
        <v>46088</v>
      </c>
      <c r="K128" s="14">
        <v>302392.32000000001</v>
      </c>
      <c r="L128" s="15" t="s">
        <v>20</v>
      </c>
      <c r="M128" s="18"/>
      <c r="N128" s="44"/>
      <c r="O128" s="7"/>
      <c r="P128" s="21">
        <v>46129</v>
      </c>
      <c r="Q128" s="43">
        <f t="shared" si="11"/>
        <v>14</v>
      </c>
      <c r="R128" s="22">
        <v>46125</v>
      </c>
      <c r="S128" s="26">
        <f t="shared" si="9"/>
        <v>10</v>
      </c>
      <c r="T128" s="29" t="str" cm="1">
        <f t="array" aca="1" ref="T128" ca="1">IFERROR(ROUND(CENTILE.SI.ENS($Q$2:$Q$2202,0.5,$E$2:$E$2202,E128,$Q$2:$Q$2202,"&gt;0"),0),"N/D")</f>
        <v>N/D</v>
      </c>
      <c r="U128" s="74">
        <f t="shared" si="10"/>
        <v>46127</v>
      </c>
    </row>
    <row r="129" spans="1:21" s="75" customFormat="1" ht="11.25" hidden="1" x14ac:dyDescent="0.2">
      <c r="A129" s="5" t="s">
        <v>58</v>
      </c>
      <c r="B129" s="5">
        <v>46134</v>
      </c>
      <c r="C129" s="5"/>
      <c r="D129" s="6">
        <v>202603042</v>
      </c>
      <c r="E129" s="7" t="s">
        <v>77</v>
      </c>
      <c r="F129" s="7" t="s">
        <v>327</v>
      </c>
      <c r="G129" s="8" t="s">
        <v>22</v>
      </c>
      <c r="H129" s="9">
        <v>30</v>
      </c>
      <c r="I129" s="7" t="s">
        <v>328</v>
      </c>
      <c r="J129" s="13">
        <v>46105</v>
      </c>
      <c r="K129" s="14">
        <v>197293.53</v>
      </c>
      <c r="L129" s="15" t="s">
        <v>20</v>
      </c>
      <c r="M129" s="18"/>
      <c r="N129" s="44"/>
      <c r="O129" s="7" t="s">
        <v>366</v>
      </c>
      <c r="P129" s="21">
        <v>46149</v>
      </c>
      <c r="Q129" s="43">
        <f t="shared" si="11"/>
        <v>15</v>
      </c>
      <c r="R129" s="22">
        <v>46134</v>
      </c>
      <c r="S129" s="26">
        <f t="shared" si="9"/>
        <v>10</v>
      </c>
      <c r="T129" s="29" t="str" cm="1">
        <f t="array" aca="1" ref="T129" ca="1">IFERROR(ROUND(CENTILE.SI.ENS($Q$2:$Q$2202,0.5,$E$2:$E$2202,E129,$Q$2:$Q$2202,"&gt;0"),0),"N/D")</f>
        <v>N/D</v>
      </c>
      <c r="U129" s="74">
        <f t="shared" si="10"/>
        <v>46146</v>
      </c>
    </row>
    <row r="130" spans="1:21" s="40" customFormat="1" ht="11.25" hidden="1" x14ac:dyDescent="0.2">
      <c r="A130" s="5" t="s">
        <v>58</v>
      </c>
      <c r="B130" s="5">
        <v>46142</v>
      </c>
      <c r="C130" s="5">
        <v>46154</v>
      </c>
      <c r="D130" s="6">
        <v>202604048</v>
      </c>
      <c r="E130" s="7" t="s">
        <v>77</v>
      </c>
      <c r="F130" s="7" t="s">
        <v>395</v>
      </c>
      <c r="G130" s="8" t="s">
        <v>19</v>
      </c>
      <c r="H130" s="9">
        <v>0</v>
      </c>
      <c r="I130" s="7" t="s">
        <v>418</v>
      </c>
      <c r="J130" s="13">
        <v>46134</v>
      </c>
      <c r="K130" s="14">
        <v>32964</v>
      </c>
      <c r="L130" s="15" t="s">
        <v>20</v>
      </c>
      <c r="M130" s="18"/>
      <c r="N130" s="44"/>
      <c r="O130" s="7" t="s">
        <v>430</v>
      </c>
      <c r="P130" s="22">
        <v>46174</v>
      </c>
      <c r="Q130" s="43">
        <f t="shared" si="11"/>
        <v>32</v>
      </c>
      <c r="R130" s="22">
        <v>46174</v>
      </c>
      <c r="S130" s="26">
        <f t="shared" si="9"/>
        <v>10</v>
      </c>
      <c r="T130" s="29" t="str" cm="1">
        <f t="array" aca="1" ref="T130" ca="1">IFERROR(ROUND(CENTILE.SI.ENS($Q$2:$Q$2202,0.5,$E$2:$E$2202,E130,$Q$2:$Q$2202,"&gt;0"),0),"N/D")</f>
        <v>N/D</v>
      </c>
      <c r="U130" s="74">
        <f t="shared" si="10"/>
        <v>46154</v>
      </c>
    </row>
    <row r="131" spans="1:21" s="75" customFormat="1" hidden="1" x14ac:dyDescent="0.2">
      <c r="A131" s="5" t="s">
        <v>58</v>
      </c>
      <c r="B131" s="5">
        <v>46175</v>
      </c>
      <c r="C131" s="5"/>
      <c r="D131" s="6">
        <v>202604031</v>
      </c>
      <c r="E131" s="7" t="s">
        <v>77</v>
      </c>
      <c r="F131" s="7" t="s">
        <v>382</v>
      </c>
      <c r="G131" s="8" t="s">
        <v>22</v>
      </c>
      <c r="H131" s="9">
        <v>45</v>
      </c>
      <c r="I131" s="7" t="s">
        <v>383</v>
      </c>
      <c r="J131" s="13">
        <v>46131</v>
      </c>
      <c r="K131" s="24">
        <v>299450.96999999997</v>
      </c>
      <c r="L131" s="15" t="s">
        <v>20</v>
      </c>
      <c r="M131" s="18">
        <v>46188</v>
      </c>
      <c r="N131" s="44"/>
      <c r="O131" s="17"/>
      <c r="P131" s="21">
        <v>46178</v>
      </c>
      <c r="Q131" s="43">
        <f t="shared" ref="Q131:Q132" si="12">IF(P131="","En attente paiement",P131-B131)</f>
        <v>3</v>
      </c>
      <c r="R131" s="22">
        <v>46146</v>
      </c>
      <c r="S131" s="26">
        <f t="shared" ref="S131:S194" si="13">IFERROR(ROUND(AVERAGEIF($E$2:$E$2202,E131,$Q$2:$Q$2202),0),"N/D")</f>
        <v>10</v>
      </c>
      <c r="T131" s="29" t="str" cm="1">
        <f t="array" aca="1" ref="T131" ca="1">IFERROR(ROUND(CENTILE.SI.ENS($Q$2:$Q$2202,0.5,$E$2:$E$2202,E131,$Q$2:$Q$2202,"&gt;0"),0),"N/D")</f>
        <v>N/D</v>
      </c>
      <c r="U131" s="74">
        <f t="shared" ref="U131:U194" si="14">IFERROR(B131+ROUNDUP(AVERAGEIF($E$2:$E$2202,E131,$Q$2:$Q$2202)*1.2,0),"N/D")</f>
        <v>46187</v>
      </c>
    </row>
    <row r="132" spans="1:21" s="40" customFormat="1" hidden="1" x14ac:dyDescent="0.2">
      <c r="A132" s="5" t="s">
        <v>58</v>
      </c>
      <c r="B132" s="5">
        <v>46178</v>
      </c>
      <c r="C132" s="5"/>
      <c r="D132" s="6">
        <v>202604037</v>
      </c>
      <c r="E132" s="7" t="s">
        <v>77</v>
      </c>
      <c r="F132" s="7" t="s">
        <v>395</v>
      </c>
      <c r="G132" s="8" t="s">
        <v>19</v>
      </c>
      <c r="H132" s="9">
        <v>45</v>
      </c>
      <c r="I132" s="7" t="s">
        <v>396</v>
      </c>
      <c r="J132" s="13">
        <v>46136</v>
      </c>
      <c r="K132" s="14">
        <v>336092.1</v>
      </c>
      <c r="L132" s="15" t="s">
        <v>20</v>
      </c>
      <c r="M132" s="16"/>
      <c r="N132" s="44"/>
      <c r="O132" s="17"/>
      <c r="P132" s="21">
        <v>46182</v>
      </c>
      <c r="Q132" s="43">
        <f t="shared" si="12"/>
        <v>4</v>
      </c>
      <c r="R132" s="22">
        <v>46149</v>
      </c>
      <c r="S132" s="26">
        <f t="shared" si="13"/>
        <v>10</v>
      </c>
      <c r="T132" s="29" t="str" cm="1">
        <f t="array" aca="1" ref="T132" ca="1">IFERROR(ROUND(CENTILE.SI.ENS($Q$2:$Q$2202,0.5,$E$2:$E$2202,E132,$Q$2:$Q$2202,"&gt;0"),0),"N/D")</f>
        <v>N/D</v>
      </c>
      <c r="U132" s="74">
        <f t="shared" si="14"/>
        <v>46190</v>
      </c>
    </row>
    <row r="133" spans="1:21" s="75" customFormat="1" hidden="1" x14ac:dyDescent="0.2">
      <c r="A133" s="5" t="s">
        <v>55</v>
      </c>
      <c r="B133" s="5">
        <v>46182</v>
      </c>
      <c r="C133" s="5">
        <v>46181</v>
      </c>
      <c r="D133" s="6">
        <v>202606006</v>
      </c>
      <c r="E133" s="7" t="s">
        <v>77</v>
      </c>
      <c r="F133" s="7" t="s">
        <v>449</v>
      </c>
      <c r="G133" s="8" t="s">
        <v>22</v>
      </c>
      <c r="H133" s="9">
        <v>7</v>
      </c>
      <c r="I133" s="7" t="s">
        <v>450</v>
      </c>
      <c r="J133" s="13">
        <v>46176</v>
      </c>
      <c r="K133" s="24">
        <v>319584</v>
      </c>
      <c r="L133" s="15" t="s">
        <v>20</v>
      </c>
      <c r="M133" s="16">
        <v>46210</v>
      </c>
      <c r="N133" s="44"/>
      <c r="O133" s="17"/>
      <c r="P133" s="21">
        <v>46182</v>
      </c>
      <c r="Q133" s="43"/>
      <c r="R133" s="22">
        <v>46196</v>
      </c>
      <c r="S133" s="26">
        <f t="shared" si="13"/>
        <v>10</v>
      </c>
      <c r="T133" s="29" t="str" cm="1">
        <f t="array" aca="1" ref="T133" ca="1">IFERROR(ROUND(CENTILE.SI.ENS($Q$2:$Q$2202,0.5,$E$2:$E$2202,E133,$Q$2:$Q$2202,"&gt;0"),0),"N/D")</f>
        <v>N/D</v>
      </c>
      <c r="U133" s="74">
        <f t="shared" si="14"/>
        <v>46194</v>
      </c>
    </row>
    <row r="134" spans="1:21" s="75" customFormat="1" hidden="1" x14ac:dyDescent="0.2">
      <c r="A134" s="5" t="s">
        <v>58</v>
      </c>
      <c r="B134" s="5">
        <v>46206</v>
      </c>
      <c r="C134" s="5"/>
      <c r="D134" s="6">
        <v>202605029</v>
      </c>
      <c r="E134" s="7" t="s">
        <v>77</v>
      </c>
      <c r="F134" s="7" t="s">
        <v>440</v>
      </c>
      <c r="G134" s="8" t="s">
        <v>19</v>
      </c>
      <c r="H134" s="9">
        <v>45</v>
      </c>
      <c r="I134" s="7" t="s">
        <v>43</v>
      </c>
      <c r="J134" s="13">
        <v>46162</v>
      </c>
      <c r="K134" s="14">
        <v>331369.5</v>
      </c>
      <c r="L134" s="15" t="s">
        <v>20</v>
      </c>
      <c r="M134" s="16"/>
      <c r="N134" s="44"/>
      <c r="O134" s="17"/>
      <c r="P134" s="21">
        <v>46204</v>
      </c>
      <c r="Q134" s="43">
        <f t="shared" ref="Q134:Q165" si="15">IF(P134="","En attente paiement",P134-B134)</f>
        <v>-2</v>
      </c>
      <c r="R134" s="22">
        <v>46183</v>
      </c>
      <c r="S134" s="26">
        <f t="shared" si="13"/>
        <v>10</v>
      </c>
      <c r="T134" s="29" t="str" cm="1">
        <f t="array" aca="1" ref="T134" ca="1">IFERROR(ROUND(CENTILE.SI.ENS($Q$2:$Q$2202,0.5,$E$2:$E$2202,E134,$Q$2:$Q$2202,"&gt;0"),0),"N/D")</f>
        <v>N/D</v>
      </c>
      <c r="U134" s="74">
        <f t="shared" si="14"/>
        <v>46218</v>
      </c>
    </row>
    <row r="135" spans="1:21" s="75" customFormat="1" hidden="1" x14ac:dyDescent="0.2">
      <c r="A135" s="5" t="s">
        <v>58</v>
      </c>
      <c r="B135" s="5">
        <v>46216</v>
      </c>
      <c r="C135" s="5"/>
      <c r="D135" s="6">
        <v>202605038</v>
      </c>
      <c r="E135" s="7" t="s">
        <v>77</v>
      </c>
      <c r="F135" s="7" t="s">
        <v>395</v>
      </c>
      <c r="G135" s="8" t="s">
        <v>22</v>
      </c>
      <c r="H135" s="9">
        <v>45</v>
      </c>
      <c r="I135" s="7" t="s">
        <v>97</v>
      </c>
      <c r="J135" s="13">
        <v>46172</v>
      </c>
      <c r="K135" s="24">
        <v>557844.56999999995</v>
      </c>
      <c r="L135" s="15" t="s">
        <v>20</v>
      </c>
      <c r="M135" s="16">
        <v>46234</v>
      </c>
      <c r="N135" s="44"/>
      <c r="O135" s="17"/>
      <c r="P135" s="21">
        <v>46218</v>
      </c>
      <c r="Q135" s="43">
        <f t="shared" si="15"/>
        <v>2</v>
      </c>
      <c r="R135" s="22">
        <v>46203</v>
      </c>
      <c r="S135" s="26">
        <f t="shared" si="13"/>
        <v>10</v>
      </c>
      <c r="T135" s="29" t="str" cm="1">
        <f t="array" aca="1" ref="T135" ca="1">IFERROR(ROUND(CENTILE.SI.ENS($Q$2:$Q$2202,0.5,$E$2:$E$2202,E135,$Q$2:$Q$2202,"&gt;0"),0),"N/D")</f>
        <v>N/D</v>
      </c>
      <c r="U135" s="74">
        <f t="shared" si="14"/>
        <v>46228</v>
      </c>
    </row>
    <row r="136" spans="1:21" s="75" customFormat="1" hidden="1" x14ac:dyDescent="0.2">
      <c r="A136" s="5" t="s">
        <v>58</v>
      </c>
      <c r="B136" s="5">
        <v>46227</v>
      </c>
      <c r="C136" s="5"/>
      <c r="D136" s="6">
        <v>202606023</v>
      </c>
      <c r="E136" s="7" t="s">
        <v>77</v>
      </c>
      <c r="F136" s="7" t="s">
        <v>471</v>
      </c>
      <c r="G136" s="8" t="s">
        <v>22</v>
      </c>
      <c r="H136" s="9">
        <v>45</v>
      </c>
      <c r="I136" s="7" t="s">
        <v>472</v>
      </c>
      <c r="J136" s="13">
        <v>46184</v>
      </c>
      <c r="K136" s="24">
        <v>147019.5</v>
      </c>
      <c r="L136" s="15" t="s">
        <v>20</v>
      </c>
      <c r="M136" s="16">
        <v>46245</v>
      </c>
      <c r="N136" s="44"/>
      <c r="O136" s="17"/>
      <c r="P136" s="21">
        <v>46233</v>
      </c>
      <c r="Q136" s="43">
        <f t="shared" si="15"/>
        <v>6</v>
      </c>
      <c r="R136" s="22">
        <v>46199</v>
      </c>
      <c r="S136" s="26">
        <f t="shared" si="13"/>
        <v>10</v>
      </c>
      <c r="T136" s="29" t="str" cm="1">
        <f t="array" aca="1" ref="T136" ca="1">IFERROR(ROUND(CENTILE.SI.ENS($Q$2:$Q$2202,0.5,$E$2:$E$2202,E136,$Q$2:$Q$2202,"&gt;0"),0),"N/D")</f>
        <v>N/D</v>
      </c>
      <c r="U136" s="74">
        <f t="shared" si="14"/>
        <v>46239</v>
      </c>
    </row>
    <row r="137" spans="1:21" s="75" customFormat="1" hidden="1" x14ac:dyDescent="0.2">
      <c r="A137" s="5" t="s">
        <v>58</v>
      </c>
      <c r="B137" s="5">
        <v>46234</v>
      </c>
      <c r="C137" s="5"/>
      <c r="D137" s="6">
        <v>202606036</v>
      </c>
      <c r="E137" s="7" t="s">
        <v>77</v>
      </c>
      <c r="F137" s="7" t="s">
        <v>479</v>
      </c>
      <c r="G137" s="8" t="s">
        <v>22</v>
      </c>
      <c r="H137" s="9">
        <v>45</v>
      </c>
      <c r="I137" s="7" t="s">
        <v>480</v>
      </c>
      <c r="J137" s="13">
        <v>46192</v>
      </c>
      <c r="K137" s="24">
        <v>284874.81</v>
      </c>
      <c r="L137" s="15" t="s">
        <v>20</v>
      </c>
      <c r="M137" s="16">
        <v>46260</v>
      </c>
      <c r="N137" s="44"/>
      <c r="O137" s="17"/>
      <c r="P137" s="21">
        <v>46233</v>
      </c>
      <c r="Q137" s="43">
        <f t="shared" si="15"/>
        <v>-1</v>
      </c>
      <c r="R137" s="22"/>
      <c r="S137" s="26">
        <f t="shared" si="13"/>
        <v>10</v>
      </c>
      <c r="T137" s="29" t="str" cm="1">
        <f t="array" aca="1" ref="T137" ca="1">IFERROR(ROUND(CENTILE.SI.ENS($Q$2:$Q$2202,0.5,$E$2:$E$2202,E137,$Q$2:$Q$2202,"&gt;0"),0),"N/D")</f>
        <v>N/D</v>
      </c>
      <c r="U137" s="74">
        <f t="shared" si="14"/>
        <v>46246</v>
      </c>
    </row>
    <row r="138" spans="1:21" s="40" customFormat="1" ht="11.25" x14ac:dyDescent="0.2">
      <c r="A138" s="5" t="s">
        <v>58</v>
      </c>
      <c r="B138" s="5">
        <v>46241</v>
      </c>
      <c r="C138" s="5"/>
      <c r="D138" s="6">
        <v>202607040</v>
      </c>
      <c r="E138" s="7" t="s">
        <v>499</v>
      </c>
      <c r="F138" s="7" t="s">
        <v>529</v>
      </c>
      <c r="G138" s="8" t="s">
        <v>65</v>
      </c>
      <c r="H138" s="9">
        <v>30</v>
      </c>
      <c r="I138" s="7" t="s">
        <v>97</v>
      </c>
      <c r="J138" s="13">
        <v>46214</v>
      </c>
      <c r="K138" s="14">
        <v>837556.24</v>
      </c>
      <c r="L138" s="15" t="s">
        <v>20</v>
      </c>
      <c r="M138" s="18"/>
      <c r="N138" s="14"/>
      <c r="O138" s="7"/>
      <c r="P138" s="21"/>
      <c r="Q138" s="43" t="str">
        <f t="shared" si="15"/>
        <v>En attente paiement</v>
      </c>
      <c r="R138" s="22">
        <v>46252</v>
      </c>
      <c r="S138" s="26">
        <f t="shared" si="13"/>
        <v>7</v>
      </c>
      <c r="T138" s="29" t="str" cm="1">
        <f t="array" aca="1" ref="T138" ca="1">IFERROR(ROUND(CENTILE.SI.ENS($Q$2:$Q$2202,0.5,$E$2:$E$2202,E138,$Q$2:$Q$2202,"&gt;0"),0),"N/D")</f>
        <v>N/D</v>
      </c>
      <c r="U138" s="74">
        <f t="shared" si="14"/>
        <v>46250</v>
      </c>
    </row>
    <row r="139" spans="1:21" s="75" customFormat="1" ht="11.25" hidden="1" x14ac:dyDescent="0.2">
      <c r="A139" s="35" t="s">
        <v>55</v>
      </c>
      <c r="B139" s="35">
        <v>46077</v>
      </c>
      <c r="C139" s="35"/>
      <c r="D139" s="36">
        <v>15</v>
      </c>
      <c r="E139" s="37" t="s">
        <v>176</v>
      </c>
      <c r="F139" s="37" t="s">
        <v>177</v>
      </c>
      <c r="G139" s="38" t="s">
        <v>131</v>
      </c>
      <c r="H139" s="39">
        <v>30</v>
      </c>
      <c r="I139" s="40" t="s">
        <v>178</v>
      </c>
      <c r="J139" s="38">
        <v>46048</v>
      </c>
      <c r="K139" s="44">
        <v>23416.16</v>
      </c>
      <c r="L139" s="42" t="s">
        <v>20</v>
      </c>
      <c r="M139" s="18"/>
      <c r="N139" s="44">
        <v>23416.16</v>
      </c>
      <c r="O139" s="7"/>
      <c r="P139" s="21">
        <v>46085</v>
      </c>
      <c r="Q139" s="43">
        <f t="shared" si="15"/>
        <v>8</v>
      </c>
      <c r="R139" s="21">
        <v>46078</v>
      </c>
      <c r="S139" s="26">
        <f t="shared" si="13"/>
        <v>7</v>
      </c>
      <c r="T139" s="29" t="str" cm="1">
        <f t="array" aca="1" ref="T139" ca="1">IFERROR(ROUND(CENTILE.SI.ENS($Q$2:$Q$2202,0.5,$E$2:$E$2202,E139,$Q$2:$Q$2202,"&gt;0"),0),"N/D")</f>
        <v>N/D</v>
      </c>
      <c r="U139" s="74">
        <f t="shared" si="14"/>
        <v>46085</v>
      </c>
    </row>
    <row r="140" spans="1:21" s="40" customFormat="1" ht="11.25" hidden="1" x14ac:dyDescent="0.2">
      <c r="A140" s="35" t="s">
        <v>55</v>
      </c>
      <c r="B140" s="35">
        <v>46086</v>
      </c>
      <c r="C140" s="35"/>
      <c r="D140" s="36">
        <v>202602026</v>
      </c>
      <c r="E140" s="37" t="s">
        <v>176</v>
      </c>
      <c r="F140" s="37" t="s">
        <v>216</v>
      </c>
      <c r="G140" s="38" t="s">
        <v>131</v>
      </c>
      <c r="H140" s="39">
        <v>30</v>
      </c>
      <c r="I140" s="40" t="s">
        <v>217</v>
      </c>
      <c r="J140" s="38">
        <v>46057</v>
      </c>
      <c r="K140" s="41">
        <v>202650</v>
      </c>
      <c r="L140" s="42" t="s">
        <v>20</v>
      </c>
      <c r="M140" s="18">
        <v>46101</v>
      </c>
      <c r="N140" s="44">
        <v>202567</v>
      </c>
      <c r="O140" s="7"/>
      <c r="P140" s="21">
        <v>46093</v>
      </c>
      <c r="Q140" s="43">
        <f t="shared" si="15"/>
        <v>7</v>
      </c>
      <c r="R140" s="21">
        <v>46087</v>
      </c>
      <c r="S140" s="26">
        <f t="shared" si="13"/>
        <v>7</v>
      </c>
      <c r="T140" s="29" t="str" cm="1">
        <f t="array" aca="1" ref="T140" ca="1">IFERROR(ROUND(CENTILE.SI.ENS($Q$2:$Q$2202,0.5,$E$2:$E$2202,E140,$Q$2:$Q$2202,"&gt;0"),0),"N/D")</f>
        <v>N/D</v>
      </c>
      <c r="U140" s="74">
        <f t="shared" si="14"/>
        <v>46094</v>
      </c>
    </row>
    <row r="141" spans="1:21" s="40" customFormat="1" ht="11.25" hidden="1" x14ac:dyDescent="0.2">
      <c r="A141" s="5" t="s">
        <v>58</v>
      </c>
      <c r="B141" s="5">
        <v>46140</v>
      </c>
      <c r="C141" s="5"/>
      <c r="D141" s="6">
        <v>202603046</v>
      </c>
      <c r="E141" s="7" t="s">
        <v>176</v>
      </c>
      <c r="F141" s="7" t="s">
        <v>335</v>
      </c>
      <c r="G141" s="8" t="s">
        <v>22</v>
      </c>
      <c r="H141" s="9">
        <v>30</v>
      </c>
      <c r="I141" s="7" t="s">
        <v>336</v>
      </c>
      <c r="J141" s="13">
        <v>46111</v>
      </c>
      <c r="K141" s="24">
        <v>168229.36</v>
      </c>
      <c r="L141" s="15" t="s">
        <v>20</v>
      </c>
      <c r="M141" s="18">
        <v>46154</v>
      </c>
      <c r="N141" s="44"/>
      <c r="O141" s="7"/>
      <c r="P141" s="21">
        <v>46146</v>
      </c>
      <c r="Q141" s="43">
        <f t="shared" si="15"/>
        <v>6</v>
      </c>
      <c r="R141" s="22">
        <v>46140</v>
      </c>
      <c r="S141" s="26">
        <f t="shared" si="13"/>
        <v>7</v>
      </c>
      <c r="T141" s="29" t="str" cm="1">
        <f t="array" aca="1" ref="T141" ca="1">IFERROR(ROUND(CENTILE.SI.ENS($Q$2:$Q$2202,0.5,$E$2:$E$2202,E141,$Q$2:$Q$2202,"&gt;0"),0),"N/D")</f>
        <v>N/D</v>
      </c>
      <c r="U141" s="74">
        <f t="shared" si="14"/>
        <v>46148</v>
      </c>
    </row>
    <row r="142" spans="1:21" s="75" customFormat="1" ht="11.25" hidden="1" x14ac:dyDescent="0.2">
      <c r="A142" s="5" t="s">
        <v>55</v>
      </c>
      <c r="B142" s="5">
        <v>46164</v>
      </c>
      <c r="C142" s="5"/>
      <c r="D142" s="6">
        <v>202604039</v>
      </c>
      <c r="E142" s="7" t="s">
        <v>176</v>
      </c>
      <c r="F142" s="7" t="s">
        <v>399</v>
      </c>
      <c r="G142" s="8" t="s">
        <v>131</v>
      </c>
      <c r="H142" s="9">
        <v>30</v>
      </c>
      <c r="I142" s="7" t="s">
        <v>101</v>
      </c>
      <c r="J142" s="13">
        <v>46137</v>
      </c>
      <c r="K142" s="24">
        <v>897500</v>
      </c>
      <c r="L142" s="15" t="s">
        <v>20</v>
      </c>
      <c r="M142" s="18">
        <v>46177</v>
      </c>
      <c r="N142" s="44"/>
      <c r="O142" s="7"/>
      <c r="P142" s="21">
        <v>46169</v>
      </c>
      <c r="Q142" s="43">
        <f t="shared" si="15"/>
        <v>5</v>
      </c>
      <c r="R142" s="22">
        <v>46149</v>
      </c>
      <c r="S142" s="26">
        <f t="shared" si="13"/>
        <v>7</v>
      </c>
      <c r="T142" s="29" t="str" cm="1">
        <f t="array" aca="1" ref="T142" ca="1">IFERROR(ROUND(CENTILE.SI.ENS($Q$2:$Q$2202,0.5,$E$2:$E$2202,E142,$Q$2:$Q$2202,"&gt;0"),0),"N/D")</f>
        <v>N/D</v>
      </c>
      <c r="U142" s="74">
        <f t="shared" si="14"/>
        <v>46172</v>
      </c>
    </row>
    <row r="143" spans="1:21" s="75" customFormat="1" ht="11.25" x14ac:dyDescent="0.2">
      <c r="A143" s="5" t="s">
        <v>55</v>
      </c>
      <c r="B143" s="5">
        <v>46241</v>
      </c>
      <c r="C143" s="5"/>
      <c r="D143" s="6">
        <v>202607029</v>
      </c>
      <c r="E143" s="7" t="s">
        <v>23</v>
      </c>
      <c r="F143" s="7" t="s">
        <v>29</v>
      </c>
      <c r="G143" s="8" t="s">
        <v>19</v>
      </c>
      <c r="H143" s="9">
        <v>21</v>
      </c>
      <c r="I143" s="7" t="s">
        <v>25</v>
      </c>
      <c r="J143" s="13">
        <v>46221</v>
      </c>
      <c r="K143" s="14">
        <v>200</v>
      </c>
      <c r="L143" s="15" t="s">
        <v>20</v>
      </c>
      <c r="M143" s="18"/>
      <c r="N143" s="14"/>
      <c r="O143" s="7"/>
      <c r="P143" s="21"/>
      <c r="Q143" s="43" t="str">
        <f t="shared" si="15"/>
        <v>En attente paiement</v>
      </c>
      <c r="R143" s="22"/>
      <c r="S143" s="26">
        <f t="shared" si="13"/>
        <v>11</v>
      </c>
      <c r="T143" s="29" t="str" cm="1">
        <f t="array" aca="1" ref="T143" ca="1">IFERROR(ROUND(CENTILE.SI.ENS($Q$2:$Q$2202,0.5,$E$2:$E$2202,E143,$Q$2:$Q$2202,"&gt;0"),0),"N/D")</f>
        <v>N/D</v>
      </c>
      <c r="U143" s="74">
        <f t="shared" si="14"/>
        <v>46254</v>
      </c>
    </row>
    <row r="144" spans="1:21" s="75" customFormat="1" ht="14.25" customHeight="1" x14ac:dyDescent="0.2">
      <c r="A144" s="5" t="s">
        <v>55</v>
      </c>
      <c r="B144" s="5">
        <v>46241</v>
      </c>
      <c r="C144" s="5"/>
      <c r="D144" s="6">
        <v>202607032</v>
      </c>
      <c r="E144" s="7" t="s">
        <v>23</v>
      </c>
      <c r="F144" s="7" t="s">
        <v>49</v>
      </c>
      <c r="G144" s="8" t="s">
        <v>19</v>
      </c>
      <c r="H144" s="9">
        <v>21</v>
      </c>
      <c r="I144" s="7" t="s">
        <v>25</v>
      </c>
      <c r="J144" s="13">
        <v>46223</v>
      </c>
      <c r="K144" s="14">
        <v>250</v>
      </c>
      <c r="L144" s="15" t="s">
        <v>20</v>
      </c>
      <c r="M144" s="18"/>
      <c r="N144" s="14"/>
      <c r="O144" s="7"/>
      <c r="P144" s="21"/>
      <c r="Q144" s="43" t="str">
        <f t="shared" si="15"/>
        <v>En attente paiement</v>
      </c>
      <c r="R144" s="22"/>
      <c r="S144" s="26">
        <f t="shared" si="13"/>
        <v>11</v>
      </c>
      <c r="T144" s="29" t="str" cm="1">
        <f t="array" aca="1" ref="T144" ca="1">IFERROR(ROUND(CENTILE.SI.ENS($Q$2:$Q$2202,0.5,$E$2:$E$2202,E144,$Q$2:$Q$2202,"&gt;0"),0),"N/D")</f>
        <v>N/D</v>
      </c>
      <c r="U144" s="74">
        <f t="shared" si="14"/>
        <v>46254</v>
      </c>
    </row>
    <row r="145" spans="1:21" s="75" customFormat="1" ht="11.25" hidden="1" x14ac:dyDescent="0.2">
      <c r="A145" s="5" t="s">
        <v>294</v>
      </c>
      <c r="B145" s="5">
        <v>46164</v>
      </c>
      <c r="C145" s="5"/>
      <c r="D145" s="6">
        <v>202604032</v>
      </c>
      <c r="E145" s="7" t="s">
        <v>384</v>
      </c>
      <c r="F145" s="7" t="s">
        <v>385</v>
      </c>
      <c r="G145" s="8" t="s">
        <v>65</v>
      </c>
      <c r="H145" s="9">
        <v>30</v>
      </c>
      <c r="I145" s="7" t="s">
        <v>279</v>
      </c>
      <c r="J145" s="13">
        <v>46135</v>
      </c>
      <c r="K145" s="14">
        <f>9035-1332.26</f>
        <v>7702.74</v>
      </c>
      <c r="L145" s="15" t="s">
        <v>34</v>
      </c>
      <c r="M145" s="18"/>
      <c r="N145" s="44"/>
      <c r="O145" s="79" t="s">
        <v>421</v>
      </c>
      <c r="P145" s="21">
        <v>46161</v>
      </c>
      <c r="Q145" s="43">
        <f t="shared" si="15"/>
        <v>-3</v>
      </c>
      <c r="R145" s="22">
        <v>46156</v>
      </c>
      <c r="S145" s="26">
        <f t="shared" si="13"/>
        <v>-3</v>
      </c>
      <c r="T145" s="29" t="str" cm="1">
        <f t="array" aca="1" ref="T145" ca="1">IFERROR(ROUND(CENTILE.SI.ENS($Q$2:$Q$2202,0.5,$E$2:$E$2202,E145,$Q$2:$Q$2202,"&gt;0"),0),"N/D")</f>
        <v>N/D</v>
      </c>
      <c r="U145" s="74">
        <f t="shared" si="14"/>
        <v>46160</v>
      </c>
    </row>
    <row r="146" spans="1:21" s="75" customFormat="1" hidden="1" x14ac:dyDescent="0.2">
      <c r="A146" s="5" t="s">
        <v>58</v>
      </c>
      <c r="B146" s="5">
        <v>46233</v>
      </c>
      <c r="C146" s="5"/>
      <c r="D146" s="6">
        <v>202607010</v>
      </c>
      <c r="E146" s="7" t="s">
        <v>499</v>
      </c>
      <c r="F146" s="7" t="s">
        <v>500</v>
      </c>
      <c r="G146" s="8" t="s">
        <v>65</v>
      </c>
      <c r="H146" s="9">
        <v>30</v>
      </c>
      <c r="I146" s="7" t="s">
        <v>101</v>
      </c>
      <c r="J146" s="13">
        <v>46204</v>
      </c>
      <c r="K146" s="14">
        <v>277018.26</v>
      </c>
      <c r="L146" s="15" t="s">
        <v>20</v>
      </c>
      <c r="M146" s="16"/>
      <c r="N146" s="44"/>
      <c r="O146" s="17"/>
      <c r="P146" s="21">
        <v>46240</v>
      </c>
      <c r="Q146" s="43">
        <f t="shared" si="15"/>
        <v>7</v>
      </c>
      <c r="R146" s="22">
        <v>46202</v>
      </c>
      <c r="S146" s="26">
        <f t="shared" si="13"/>
        <v>7</v>
      </c>
      <c r="T146" s="29" t="str" cm="1">
        <f t="array" aca="1" ref="T146" ca="1">IFERROR(ROUND(CENTILE.SI.ENS($Q$2:$Q$2202,0.5,$E$2:$E$2202,E146,$Q$2:$Q$2202,"&gt;0"),0),"N/D")</f>
        <v>N/D</v>
      </c>
      <c r="U146" s="74">
        <f t="shared" si="14"/>
        <v>46242</v>
      </c>
    </row>
    <row r="147" spans="1:21" s="75" customFormat="1" hidden="1" x14ac:dyDescent="0.2">
      <c r="A147" s="5" t="s">
        <v>58</v>
      </c>
      <c r="B147" s="5">
        <v>46233</v>
      </c>
      <c r="C147" s="5">
        <v>46218</v>
      </c>
      <c r="D147" s="6">
        <v>202607023</v>
      </c>
      <c r="E147" s="7" t="s">
        <v>499</v>
      </c>
      <c r="F147" s="7" t="s">
        <v>500</v>
      </c>
      <c r="G147" s="8" t="s">
        <v>65</v>
      </c>
      <c r="H147" s="9">
        <v>30</v>
      </c>
      <c r="I147" s="7" t="s">
        <v>101</v>
      </c>
      <c r="J147" s="13">
        <v>46204</v>
      </c>
      <c r="K147" s="14">
        <v>2553.6999999999998</v>
      </c>
      <c r="L147" s="15" t="s">
        <v>20</v>
      </c>
      <c r="M147" s="16"/>
      <c r="N147" s="44"/>
      <c r="O147" s="17"/>
      <c r="P147" s="21">
        <v>46240</v>
      </c>
      <c r="Q147" s="43">
        <f t="shared" si="15"/>
        <v>7</v>
      </c>
      <c r="R147" s="22"/>
      <c r="S147" s="26">
        <f t="shared" si="13"/>
        <v>7</v>
      </c>
      <c r="T147" s="29" t="str" cm="1">
        <f t="array" aca="1" ref="T147" ca="1">IFERROR(ROUND(CENTILE.SI.ENS($Q$2:$Q$2202,0.5,$E$2:$E$2202,E147,$Q$2:$Q$2202,"&gt;0"),0),"N/D")</f>
        <v>N/D</v>
      </c>
      <c r="U147" s="74">
        <f t="shared" si="14"/>
        <v>46242</v>
      </c>
    </row>
    <row r="148" spans="1:21" s="75" customFormat="1" ht="11.25" customHeight="1" x14ac:dyDescent="0.2">
      <c r="A148" s="5" t="s">
        <v>55</v>
      </c>
      <c r="B148" s="5">
        <v>46241</v>
      </c>
      <c r="C148" s="5"/>
      <c r="D148" s="6">
        <v>202607030</v>
      </c>
      <c r="E148" s="7" t="s">
        <v>26</v>
      </c>
      <c r="F148" s="7" t="s">
        <v>29</v>
      </c>
      <c r="G148" s="8" t="s">
        <v>19</v>
      </c>
      <c r="H148" s="9">
        <v>21</v>
      </c>
      <c r="I148" s="7" t="s">
        <v>25</v>
      </c>
      <c r="J148" s="13">
        <v>46221</v>
      </c>
      <c r="K148" s="14">
        <v>200</v>
      </c>
      <c r="L148" s="15" t="s">
        <v>20</v>
      </c>
      <c r="M148" s="18"/>
      <c r="N148" s="14"/>
      <c r="O148" s="7"/>
      <c r="P148" s="21"/>
      <c r="Q148" s="43" t="str">
        <f t="shared" si="15"/>
        <v>En attente paiement</v>
      </c>
      <c r="R148" s="22"/>
      <c r="S148" s="26">
        <f t="shared" si="13"/>
        <v>13</v>
      </c>
      <c r="T148" s="29" t="str" cm="1">
        <f t="array" aca="1" ref="T148" ca="1">IFERROR(ROUND(CENTILE.SI.ENS($Q$2:$Q$2202,0.5,$E$2:$E$2202,E148,$Q$2:$Q$2202,"&gt;0"),0),"N/D")</f>
        <v>N/D</v>
      </c>
      <c r="U148" s="74">
        <f t="shared" si="14"/>
        <v>46257</v>
      </c>
    </row>
    <row r="149" spans="1:21" s="75" customFormat="1" ht="11.25" x14ac:dyDescent="0.2">
      <c r="A149" s="5" t="s">
        <v>55</v>
      </c>
      <c r="B149" s="5">
        <v>46241</v>
      </c>
      <c r="C149" s="5"/>
      <c r="D149" s="6">
        <v>202607033</v>
      </c>
      <c r="E149" s="7" t="s">
        <v>26</v>
      </c>
      <c r="F149" s="7" t="s">
        <v>49</v>
      </c>
      <c r="G149" s="8" t="s">
        <v>19</v>
      </c>
      <c r="H149" s="9">
        <v>21</v>
      </c>
      <c r="I149" s="7" t="s">
        <v>25</v>
      </c>
      <c r="J149" s="13">
        <v>46223</v>
      </c>
      <c r="K149" s="14">
        <v>250</v>
      </c>
      <c r="L149" s="15" t="s">
        <v>20</v>
      </c>
      <c r="M149" s="18"/>
      <c r="N149" s="14"/>
      <c r="O149" s="7"/>
      <c r="P149" s="21"/>
      <c r="Q149" s="43" t="str">
        <f t="shared" si="15"/>
        <v>En attente paiement</v>
      </c>
      <c r="R149" s="22"/>
      <c r="S149" s="26">
        <f t="shared" si="13"/>
        <v>13</v>
      </c>
      <c r="T149" s="29" t="str" cm="1">
        <f t="array" aca="1" ref="T149" ca="1">IFERROR(ROUND(CENTILE.SI.ENS($Q$2:$Q$2202,0.5,$E$2:$E$2202,E149,$Q$2:$Q$2202,"&gt;0"),0),"N/D")</f>
        <v>N/D</v>
      </c>
      <c r="U149" s="74">
        <f t="shared" si="14"/>
        <v>46257</v>
      </c>
    </row>
    <row r="150" spans="1:21" s="75" customFormat="1" ht="11.25" hidden="1" x14ac:dyDescent="0.2">
      <c r="A150" s="5" t="s">
        <v>268</v>
      </c>
      <c r="B150" s="5">
        <v>46171</v>
      </c>
      <c r="C150" s="5"/>
      <c r="D150" s="6">
        <v>202605008</v>
      </c>
      <c r="E150" s="7" t="s">
        <v>410</v>
      </c>
      <c r="F150" s="7" t="s">
        <v>411</v>
      </c>
      <c r="G150" s="8" t="s">
        <v>22</v>
      </c>
      <c r="H150" s="9">
        <v>30</v>
      </c>
      <c r="I150" s="7" t="s">
        <v>101</v>
      </c>
      <c r="J150" s="13">
        <v>46144</v>
      </c>
      <c r="K150" s="14">
        <v>393175</v>
      </c>
      <c r="L150" s="15" t="s">
        <v>20</v>
      </c>
      <c r="M150" s="18"/>
      <c r="N150" s="44"/>
      <c r="O150" s="7"/>
      <c r="P150" s="21">
        <v>46170</v>
      </c>
      <c r="Q150" s="43">
        <f t="shared" si="15"/>
        <v>-1</v>
      </c>
      <c r="R150" s="22">
        <v>46168</v>
      </c>
      <c r="S150" s="26">
        <f t="shared" si="13"/>
        <v>-1</v>
      </c>
      <c r="T150" s="29" t="str" cm="1">
        <f t="array" aca="1" ref="T150" ca="1">IFERROR(ROUND(CENTILE.SI.ENS($Q$2:$Q$2202,0.5,$E$2:$E$2202,E150,$Q$2:$Q$2202,"&gt;0"),0),"N/D")</f>
        <v>N/D</v>
      </c>
      <c r="U150" s="74">
        <f t="shared" si="14"/>
        <v>46169</v>
      </c>
    </row>
    <row r="151" spans="1:21" s="75" customFormat="1" ht="11.25" hidden="1" x14ac:dyDescent="0.2">
      <c r="A151" s="35" t="s">
        <v>268</v>
      </c>
      <c r="B151" s="35">
        <v>46108</v>
      </c>
      <c r="C151" s="35"/>
      <c r="D151" s="36">
        <v>202602059</v>
      </c>
      <c r="E151" s="37" t="s">
        <v>269</v>
      </c>
      <c r="F151" s="37" t="s">
        <v>270</v>
      </c>
      <c r="G151" s="38" t="s">
        <v>22</v>
      </c>
      <c r="H151" s="39">
        <v>30</v>
      </c>
      <c r="I151" s="40" t="s">
        <v>88</v>
      </c>
      <c r="J151" s="38">
        <v>46081</v>
      </c>
      <c r="K151" s="44">
        <f>47138-7250</f>
        <v>39888</v>
      </c>
      <c r="L151" s="42" t="s">
        <v>20</v>
      </c>
      <c r="M151" s="18"/>
      <c r="N151" s="44">
        <v>39888</v>
      </c>
      <c r="O151" s="7" t="s">
        <v>282</v>
      </c>
      <c r="P151" s="21">
        <v>46107</v>
      </c>
      <c r="Q151" s="43">
        <f t="shared" si="15"/>
        <v>-1</v>
      </c>
      <c r="R151" s="21">
        <v>46092</v>
      </c>
      <c r="S151" s="26">
        <f t="shared" si="13"/>
        <v>-1</v>
      </c>
      <c r="T151" s="29" t="str" cm="1">
        <f t="array" aca="1" ref="T151" ca="1">IFERROR(ROUND(CENTILE.SI.ENS($Q$2:$Q$2202,0.5,$E$2:$E$2202,E151,$Q$2:$Q$2202,"&gt;0"),0),"N/D")</f>
        <v>N/D</v>
      </c>
      <c r="U151" s="74">
        <f t="shared" si="14"/>
        <v>46106</v>
      </c>
    </row>
    <row r="152" spans="1:21" s="75" customFormat="1" ht="11.25" hidden="1" x14ac:dyDescent="0.2">
      <c r="A152" s="35" t="s">
        <v>55</v>
      </c>
      <c r="B152" s="35">
        <v>46077</v>
      </c>
      <c r="C152" s="35"/>
      <c r="D152" s="36">
        <v>202601008</v>
      </c>
      <c r="E152" s="37" t="s">
        <v>36</v>
      </c>
      <c r="F152" s="37" t="s">
        <v>47</v>
      </c>
      <c r="G152" s="38" t="s">
        <v>22</v>
      </c>
      <c r="H152" s="39">
        <v>45</v>
      </c>
      <c r="I152" s="40" t="s">
        <v>50</v>
      </c>
      <c r="J152" s="38">
        <v>46033</v>
      </c>
      <c r="K152" s="41">
        <v>70716.52</v>
      </c>
      <c r="L152" s="42" t="s">
        <v>34</v>
      </c>
      <c r="M152" s="18">
        <v>46091</v>
      </c>
      <c r="N152" s="44"/>
      <c r="O152" s="7"/>
      <c r="P152" s="21">
        <v>46097</v>
      </c>
      <c r="Q152" s="43">
        <f t="shared" si="15"/>
        <v>20</v>
      </c>
      <c r="R152" s="21">
        <v>46055</v>
      </c>
      <c r="S152" s="26">
        <f t="shared" si="13"/>
        <v>22</v>
      </c>
      <c r="T152" s="29" t="str" cm="1">
        <f t="array" aca="1" ref="T152" ca="1">IFERROR(ROUND(CENTILE.SI.ENS($Q$2:$Q$2202,0.5,$E$2:$E$2202,E152,$Q$2:$Q$2202,"&gt;0"),0),"N/D")</f>
        <v>N/D</v>
      </c>
      <c r="U152" s="74">
        <f t="shared" si="14"/>
        <v>46104</v>
      </c>
    </row>
    <row r="153" spans="1:21" s="75" customFormat="1" ht="11.25" hidden="1" x14ac:dyDescent="0.2">
      <c r="A153" s="35" t="s">
        <v>55</v>
      </c>
      <c r="B153" s="35">
        <v>46080</v>
      </c>
      <c r="C153" s="35"/>
      <c r="D153" s="36">
        <v>202601028</v>
      </c>
      <c r="E153" s="37" t="s">
        <v>36</v>
      </c>
      <c r="F153" s="37" t="s">
        <v>118</v>
      </c>
      <c r="G153" s="38" t="s">
        <v>22</v>
      </c>
      <c r="H153" s="39">
        <v>45</v>
      </c>
      <c r="I153" s="40" t="s">
        <v>104</v>
      </c>
      <c r="J153" s="38">
        <v>46036</v>
      </c>
      <c r="K153" s="44">
        <v>32337.25</v>
      </c>
      <c r="L153" s="42" t="s">
        <v>34</v>
      </c>
      <c r="M153" s="18"/>
      <c r="N153" s="44"/>
      <c r="O153" s="7"/>
      <c r="P153" s="21">
        <v>46097</v>
      </c>
      <c r="Q153" s="43">
        <f t="shared" si="15"/>
        <v>17</v>
      </c>
      <c r="R153" s="21">
        <v>46066</v>
      </c>
      <c r="S153" s="26">
        <f t="shared" si="13"/>
        <v>22</v>
      </c>
      <c r="T153" s="29" t="str" cm="1">
        <f t="array" aca="1" ref="T153" ca="1">IFERROR(ROUND(CENTILE.SI.ENS($Q$2:$Q$2202,0.5,$E$2:$E$2202,E153,$Q$2:$Q$2202,"&gt;0"),0),"N/D")</f>
        <v>N/D</v>
      </c>
      <c r="U153" s="74">
        <f t="shared" si="14"/>
        <v>46107</v>
      </c>
    </row>
    <row r="154" spans="1:21" s="75" customFormat="1" ht="11.25" hidden="1" x14ac:dyDescent="0.2">
      <c r="A154" s="35" t="s">
        <v>55</v>
      </c>
      <c r="B154" s="35">
        <v>46085</v>
      </c>
      <c r="C154" s="35"/>
      <c r="D154" s="36">
        <v>202601040</v>
      </c>
      <c r="E154" s="37" t="s">
        <v>36</v>
      </c>
      <c r="F154" s="37" t="s">
        <v>138</v>
      </c>
      <c r="G154" s="38" t="s">
        <v>22</v>
      </c>
      <c r="H154" s="39">
        <v>45</v>
      </c>
      <c r="I154" s="40" t="s">
        <v>139</v>
      </c>
      <c r="J154" s="38">
        <v>46041</v>
      </c>
      <c r="K154" s="44">
        <v>50605.91</v>
      </c>
      <c r="L154" s="42" t="s">
        <v>34</v>
      </c>
      <c r="M154" s="18"/>
      <c r="N154" s="44">
        <v>50605.91</v>
      </c>
      <c r="O154" s="7"/>
      <c r="P154" s="21">
        <v>46101</v>
      </c>
      <c r="Q154" s="43">
        <f t="shared" si="15"/>
        <v>16</v>
      </c>
      <c r="R154" s="21">
        <v>46076</v>
      </c>
      <c r="S154" s="26">
        <f t="shared" si="13"/>
        <v>22</v>
      </c>
      <c r="T154" s="29" t="str" cm="1">
        <f t="array" aca="1" ref="T154" ca="1">IFERROR(ROUND(CENTILE.SI.ENS($Q$2:$Q$2202,0.5,$E$2:$E$2202,E154,$Q$2:$Q$2202,"&gt;0"),0),"N/D")</f>
        <v>N/D</v>
      </c>
      <c r="U154" s="74">
        <f t="shared" si="14"/>
        <v>46112</v>
      </c>
    </row>
    <row r="155" spans="1:21" s="40" customFormat="1" ht="11.25" hidden="1" x14ac:dyDescent="0.2">
      <c r="A155" s="5" t="s">
        <v>55</v>
      </c>
      <c r="B155" s="5">
        <v>46087</v>
      </c>
      <c r="C155" s="5"/>
      <c r="D155" s="6">
        <v>202601041</v>
      </c>
      <c r="E155" s="7" t="s">
        <v>36</v>
      </c>
      <c r="F155" s="7" t="s">
        <v>140</v>
      </c>
      <c r="G155" s="8" t="s">
        <v>22</v>
      </c>
      <c r="H155" s="9">
        <v>45</v>
      </c>
      <c r="I155" s="10" t="s">
        <v>141</v>
      </c>
      <c r="J155" s="13">
        <v>46043</v>
      </c>
      <c r="K155" s="14">
        <v>32931.71</v>
      </c>
      <c r="L155" s="15" t="s">
        <v>34</v>
      </c>
      <c r="M155" s="18"/>
      <c r="N155" s="44"/>
      <c r="O155" s="7"/>
      <c r="P155" s="21">
        <v>46112</v>
      </c>
      <c r="Q155" s="43">
        <f t="shared" si="15"/>
        <v>25</v>
      </c>
      <c r="R155" s="22">
        <v>46076</v>
      </c>
      <c r="S155" s="26">
        <f t="shared" si="13"/>
        <v>22</v>
      </c>
      <c r="T155" s="29" t="str" cm="1">
        <f t="array" aca="1" ref="T155" ca="1">IFERROR(ROUND(CENTILE.SI.ENS($Q$2:$Q$2202,0.5,$E$2:$E$2202,E155,$Q$2:$Q$2202,"&gt;0"),0),"N/D")</f>
        <v>N/D</v>
      </c>
      <c r="U155" s="74">
        <f t="shared" si="14"/>
        <v>46114</v>
      </c>
    </row>
    <row r="156" spans="1:21" s="40" customFormat="1" ht="11.25" hidden="1" x14ac:dyDescent="0.2">
      <c r="A156" s="5" t="s">
        <v>55</v>
      </c>
      <c r="B156" s="5">
        <v>46087</v>
      </c>
      <c r="C156" s="5"/>
      <c r="D156" s="6">
        <v>202601058</v>
      </c>
      <c r="E156" s="7" t="s">
        <v>36</v>
      </c>
      <c r="F156" s="7" t="s">
        <v>180</v>
      </c>
      <c r="G156" s="13" t="s">
        <v>22</v>
      </c>
      <c r="H156" s="9">
        <v>45</v>
      </c>
      <c r="I156" s="10" t="s">
        <v>104</v>
      </c>
      <c r="J156" s="13">
        <v>46044</v>
      </c>
      <c r="K156" s="14">
        <v>50031.7</v>
      </c>
      <c r="L156" s="15" t="s">
        <v>34</v>
      </c>
      <c r="M156" s="18"/>
      <c r="N156" s="44"/>
      <c r="O156" s="7"/>
      <c r="P156" s="21">
        <v>46112</v>
      </c>
      <c r="Q156" s="43">
        <f t="shared" si="15"/>
        <v>25</v>
      </c>
      <c r="R156" s="22">
        <v>46083</v>
      </c>
      <c r="S156" s="26">
        <f t="shared" si="13"/>
        <v>22</v>
      </c>
      <c r="T156" s="29" t="str" cm="1">
        <f t="array" aca="1" ref="T156" ca="1">IFERROR(ROUND(CENTILE.SI.ENS($Q$2:$Q$2202,0.5,$E$2:$E$2202,E156,$Q$2:$Q$2202,"&gt;0"),0),"N/D")</f>
        <v>N/D</v>
      </c>
      <c r="U156" s="74">
        <f t="shared" si="14"/>
        <v>46114</v>
      </c>
    </row>
    <row r="157" spans="1:21" s="40" customFormat="1" ht="11.25" hidden="1" x14ac:dyDescent="0.2">
      <c r="A157" s="5" t="s">
        <v>55</v>
      </c>
      <c r="B157" s="5">
        <v>46094</v>
      </c>
      <c r="C157" s="5"/>
      <c r="D157" s="6">
        <v>202601061</v>
      </c>
      <c r="E157" s="7" t="s">
        <v>36</v>
      </c>
      <c r="F157" s="7" t="s">
        <v>140</v>
      </c>
      <c r="G157" s="8" t="s">
        <v>22</v>
      </c>
      <c r="H157" s="9">
        <v>45</v>
      </c>
      <c r="I157" s="10" t="s">
        <v>172</v>
      </c>
      <c r="J157" s="13">
        <v>46052</v>
      </c>
      <c r="K157" s="14">
        <v>35724.36</v>
      </c>
      <c r="L157" s="15" t="s">
        <v>34</v>
      </c>
      <c r="M157" s="18"/>
      <c r="N157" s="44"/>
      <c r="O157" s="7"/>
      <c r="P157" s="21">
        <v>46122</v>
      </c>
      <c r="Q157" s="43">
        <f t="shared" si="15"/>
        <v>28</v>
      </c>
      <c r="R157" s="22">
        <v>46083</v>
      </c>
      <c r="S157" s="26">
        <f t="shared" si="13"/>
        <v>22</v>
      </c>
      <c r="T157" s="29" t="str" cm="1">
        <f t="array" aca="1" ref="T157" ca="1">IFERROR(ROUND(CENTILE.SI.ENS($Q$2:$Q$2202,0.5,$E$2:$E$2202,E157,$Q$2:$Q$2202,"&gt;0"),0),"N/D")</f>
        <v>N/D</v>
      </c>
      <c r="U157" s="74">
        <f t="shared" si="14"/>
        <v>46121</v>
      </c>
    </row>
    <row r="158" spans="1:21" s="40" customFormat="1" ht="11.25" hidden="1" x14ac:dyDescent="0.2">
      <c r="A158" s="5" t="s">
        <v>55</v>
      </c>
      <c r="B158" s="5">
        <v>46101</v>
      </c>
      <c r="C158" s="5"/>
      <c r="D158" s="6">
        <v>202602027</v>
      </c>
      <c r="E158" s="7" t="s">
        <v>36</v>
      </c>
      <c r="F158" s="7" t="s">
        <v>47</v>
      </c>
      <c r="G158" s="8" t="s">
        <v>22</v>
      </c>
      <c r="H158" s="9">
        <v>45</v>
      </c>
      <c r="I158" s="10" t="s">
        <v>218</v>
      </c>
      <c r="J158" s="13">
        <v>46059</v>
      </c>
      <c r="K158" s="14">
        <v>16702.669999999998</v>
      </c>
      <c r="L158" s="15" t="s">
        <v>20</v>
      </c>
      <c r="M158" s="18"/>
      <c r="N158" s="44"/>
      <c r="O158" s="7" t="s">
        <v>337</v>
      </c>
      <c r="P158" s="21">
        <v>46114</v>
      </c>
      <c r="Q158" s="43">
        <f t="shared" si="15"/>
        <v>13</v>
      </c>
      <c r="R158" s="22">
        <v>46073</v>
      </c>
      <c r="S158" s="26">
        <f t="shared" si="13"/>
        <v>22</v>
      </c>
      <c r="T158" s="29" t="str" cm="1">
        <f t="array" aca="1" ref="T158" ca="1">IFERROR(ROUND(CENTILE.SI.ENS($Q$2:$Q$2202,0.5,$E$2:$E$2202,E158,$Q$2:$Q$2202,"&gt;0"),0),"N/D")</f>
        <v>N/D</v>
      </c>
      <c r="U158" s="74">
        <f t="shared" si="14"/>
        <v>46128</v>
      </c>
    </row>
    <row r="159" spans="1:21" s="75" customFormat="1" ht="11.25" hidden="1" x14ac:dyDescent="0.2">
      <c r="A159" s="5" t="s">
        <v>55</v>
      </c>
      <c r="B159" s="5">
        <v>46115</v>
      </c>
      <c r="C159" s="5"/>
      <c r="D159" s="6">
        <v>202602040</v>
      </c>
      <c r="E159" s="7" t="s">
        <v>36</v>
      </c>
      <c r="F159" s="7" t="s">
        <v>180</v>
      </c>
      <c r="G159" s="8" t="s">
        <v>22</v>
      </c>
      <c r="H159" s="9">
        <v>45</v>
      </c>
      <c r="I159" s="10" t="s">
        <v>228</v>
      </c>
      <c r="J159" s="13">
        <v>46072</v>
      </c>
      <c r="K159" s="14">
        <v>40835.360000000001</v>
      </c>
      <c r="L159" s="15" t="s">
        <v>34</v>
      </c>
      <c r="M159" s="18"/>
      <c r="N159" s="44"/>
      <c r="O159" s="7"/>
      <c r="P159" s="21">
        <v>46136</v>
      </c>
      <c r="Q159" s="43">
        <f t="shared" si="15"/>
        <v>21</v>
      </c>
      <c r="R159" s="22">
        <v>46105</v>
      </c>
      <c r="S159" s="26">
        <f t="shared" si="13"/>
        <v>22</v>
      </c>
      <c r="T159" s="29" t="str" cm="1">
        <f t="array" aca="1" ref="T159" ca="1">IFERROR(ROUND(CENTILE.SI.ENS($Q$2:$Q$2202,0.5,$E$2:$E$2202,E159,$Q$2:$Q$2202,"&gt;0"),0),"N/D")</f>
        <v>N/D</v>
      </c>
      <c r="U159" s="74">
        <f t="shared" si="14"/>
        <v>46142</v>
      </c>
    </row>
    <row r="160" spans="1:21" s="75" customFormat="1" ht="11.25" hidden="1" x14ac:dyDescent="0.2">
      <c r="A160" s="5" t="s">
        <v>55</v>
      </c>
      <c r="B160" s="5">
        <v>46115</v>
      </c>
      <c r="C160" s="5"/>
      <c r="D160" s="6">
        <v>202602046</v>
      </c>
      <c r="E160" s="7" t="s">
        <v>36</v>
      </c>
      <c r="F160" s="7" t="s">
        <v>47</v>
      </c>
      <c r="G160" s="8" t="s">
        <v>22</v>
      </c>
      <c r="H160" s="9">
        <v>45</v>
      </c>
      <c r="I160" s="10" t="s">
        <v>141</v>
      </c>
      <c r="J160" s="13">
        <v>46071</v>
      </c>
      <c r="K160" s="14">
        <v>67285.75</v>
      </c>
      <c r="L160" s="15" t="s">
        <v>34</v>
      </c>
      <c r="M160" s="18"/>
      <c r="N160" s="44"/>
      <c r="O160" s="7"/>
      <c r="P160" s="21">
        <v>46136</v>
      </c>
      <c r="Q160" s="43">
        <f t="shared" si="15"/>
        <v>21</v>
      </c>
      <c r="R160" s="22">
        <v>46107</v>
      </c>
      <c r="S160" s="26">
        <f t="shared" si="13"/>
        <v>22</v>
      </c>
      <c r="T160" s="29"/>
      <c r="U160" s="74">
        <f t="shared" si="14"/>
        <v>46142</v>
      </c>
    </row>
    <row r="161" spans="1:21" s="75" customFormat="1" ht="11.25" hidden="1" x14ac:dyDescent="0.2">
      <c r="A161" s="5" t="s">
        <v>55</v>
      </c>
      <c r="B161" s="5">
        <v>46122</v>
      </c>
      <c r="C161" s="5"/>
      <c r="D161" s="6">
        <v>202602054</v>
      </c>
      <c r="E161" s="7" t="s">
        <v>36</v>
      </c>
      <c r="F161" s="7" t="s">
        <v>265</v>
      </c>
      <c r="G161" s="8" t="s">
        <v>22</v>
      </c>
      <c r="H161" s="9">
        <v>45</v>
      </c>
      <c r="I161" s="10" t="s">
        <v>141</v>
      </c>
      <c r="J161" s="13">
        <v>46079</v>
      </c>
      <c r="K161" s="14">
        <v>64075.45</v>
      </c>
      <c r="L161" s="15" t="s">
        <v>34</v>
      </c>
      <c r="M161" s="18"/>
      <c r="N161" s="44"/>
      <c r="O161" s="7"/>
      <c r="P161" s="21">
        <v>46142</v>
      </c>
      <c r="Q161" s="43">
        <f t="shared" si="15"/>
        <v>20</v>
      </c>
      <c r="R161" s="22">
        <v>46113</v>
      </c>
      <c r="S161" s="26">
        <f t="shared" si="13"/>
        <v>22</v>
      </c>
      <c r="T161" s="29" t="str" cm="1">
        <f t="array" aca="1" ref="T161" ca="1">IFERROR(ROUND(CENTILE.SI.ENS($Q$2:$Q$2202,0.5,$E$2:$E$2202,E161,$Q$2:$Q$2202,"&gt;0"),0),"N/D")</f>
        <v>N/D</v>
      </c>
      <c r="U161" s="74">
        <f t="shared" si="14"/>
        <v>46149</v>
      </c>
    </row>
    <row r="162" spans="1:21" s="75" customFormat="1" ht="11.25" hidden="1" x14ac:dyDescent="0.2">
      <c r="A162" s="5" t="s">
        <v>55</v>
      </c>
      <c r="B162" s="5">
        <v>46134</v>
      </c>
      <c r="C162" s="5"/>
      <c r="D162" s="6">
        <v>202603015</v>
      </c>
      <c r="E162" s="7" t="s">
        <v>36</v>
      </c>
      <c r="F162" s="7" t="s">
        <v>138</v>
      </c>
      <c r="G162" s="8" t="s">
        <v>22</v>
      </c>
      <c r="H162" s="9">
        <v>45</v>
      </c>
      <c r="I162" s="7" t="s">
        <v>228</v>
      </c>
      <c r="J162" s="13">
        <v>46090</v>
      </c>
      <c r="K162" s="14">
        <v>58661.68</v>
      </c>
      <c r="L162" s="15" t="s">
        <v>34</v>
      </c>
      <c r="M162" s="18"/>
      <c r="N162" s="44"/>
      <c r="O162" s="7"/>
      <c r="P162" s="21">
        <v>46153</v>
      </c>
      <c r="Q162" s="43">
        <f t="shared" si="15"/>
        <v>19</v>
      </c>
      <c r="R162" s="22">
        <v>46120</v>
      </c>
      <c r="S162" s="26">
        <f t="shared" si="13"/>
        <v>22</v>
      </c>
      <c r="T162" s="29" t="str" cm="1">
        <f t="array" aca="1" ref="T162" ca="1">IFERROR(ROUND(CENTILE.SI.ENS($Q$2:$Q$2202,0.5,$E$2:$E$2202,E162,$Q$2:$Q$2202,"&gt;0"),0),"N/D")</f>
        <v>N/D</v>
      </c>
      <c r="U162" s="74">
        <f t="shared" si="14"/>
        <v>46161</v>
      </c>
    </row>
    <row r="163" spans="1:21" s="75" customFormat="1" ht="11.25" hidden="1" x14ac:dyDescent="0.2">
      <c r="A163" s="5" t="s">
        <v>55</v>
      </c>
      <c r="B163" s="5">
        <v>46136</v>
      </c>
      <c r="C163" s="5"/>
      <c r="D163" s="6">
        <v>202603022</v>
      </c>
      <c r="E163" s="7" t="s">
        <v>36</v>
      </c>
      <c r="F163" s="7" t="s">
        <v>47</v>
      </c>
      <c r="G163" s="8" t="s">
        <v>22</v>
      </c>
      <c r="H163" s="9">
        <v>45</v>
      </c>
      <c r="I163" s="7" t="s">
        <v>171</v>
      </c>
      <c r="J163" s="13">
        <v>46093</v>
      </c>
      <c r="K163" s="14">
        <v>65182.61</v>
      </c>
      <c r="L163" s="15" t="s">
        <v>34</v>
      </c>
      <c r="M163" s="18"/>
      <c r="N163" s="44"/>
      <c r="O163" s="7"/>
      <c r="P163" s="21">
        <v>46157</v>
      </c>
      <c r="Q163" s="43">
        <f t="shared" si="15"/>
        <v>21</v>
      </c>
      <c r="R163" s="22">
        <v>46114</v>
      </c>
      <c r="S163" s="26">
        <f t="shared" si="13"/>
        <v>22</v>
      </c>
      <c r="T163" s="29" t="str" cm="1">
        <f t="array" aca="1" ref="T163" ca="1">IFERROR(ROUND(CENTILE.SI.ENS($Q$2:$Q$2202,0.5,$E$2:$E$2202,E163,$Q$2:$Q$2202,"&gt;0"),0),"N/D")</f>
        <v>N/D</v>
      </c>
      <c r="U163" s="74">
        <f t="shared" si="14"/>
        <v>46163</v>
      </c>
    </row>
    <row r="164" spans="1:21" s="75" customFormat="1" ht="11.25" hidden="1" x14ac:dyDescent="0.2">
      <c r="A164" s="5" t="s">
        <v>55</v>
      </c>
      <c r="B164" s="5">
        <v>46136</v>
      </c>
      <c r="C164" s="5"/>
      <c r="D164" s="6">
        <v>202603037</v>
      </c>
      <c r="E164" s="7" t="s">
        <v>36</v>
      </c>
      <c r="F164" s="7" t="s">
        <v>293</v>
      </c>
      <c r="G164" s="8" t="s">
        <v>22</v>
      </c>
      <c r="H164" s="9">
        <v>45</v>
      </c>
      <c r="I164" s="7" t="s">
        <v>307</v>
      </c>
      <c r="J164" s="13">
        <v>46092</v>
      </c>
      <c r="K164" s="14">
        <v>26372.23</v>
      </c>
      <c r="L164" s="15" t="s">
        <v>20</v>
      </c>
      <c r="M164" s="18"/>
      <c r="N164" s="44"/>
      <c r="O164" s="7"/>
      <c r="P164" s="21">
        <v>46153</v>
      </c>
      <c r="Q164" s="43">
        <f t="shared" si="15"/>
        <v>17</v>
      </c>
      <c r="R164" s="22">
        <v>46113</v>
      </c>
      <c r="S164" s="26">
        <f t="shared" si="13"/>
        <v>22</v>
      </c>
      <c r="T164" s="29" t="str" cm="1">
        <f t="array" aca="1" ref="T164" ca="1">IFERROR(ROUND(CENTILE.SI.ENS($Q$2:$Q$2202,0.5,$E$2:$E$2202,E164,$Q$2:$Q$2202,"&gt;0"),0),"N/D")</f>
        <v>N/D</v>
      </c>
      <c r="U164" s="74">
        <f t="shared" si="14"/>
        <v>46163</v>
      </c>
    </row>
    <row r="165" spans="1:21" s="75" customFormat="1" ht="11.25" hidden="1" x14ac:dyDescent="0.2">
      <c r="A165" s="5" t="s">
        <v>55</v>
      </c>
      <c r="B165" s="5">
        <v>46141</v>
      </c>
      <c r="C165" s="5"/>
      <c r="D165" s="6">
        <v>202603027</v>
      </c>
      <c r="E165" s="7" t="s">
        <v>36</v>
      </c>
      <c r="F165" s="7" t="s">
        <v>293</v>
      </c>
      <c r="G165" s="8" t="s">
        <v>22</v>
      </c>
      <c r="H165" s="9">
        <v>45</v>
      </c>
      <c r="I165" s="7" t="s">
        <v>228</v>
      </c>
      <c r="J165" s="13">
        <v>46097</v>
      </c>
      <c r="K165" s="24">
        <v>56314.63</v>
      </c>
      <c r="L165" s="15" t="s">
        <v>34</v>
      </c>
      <c r="M165" s="18">
        <v>46168</v>
      </c>
      <c r="N165" s="44"/>
      <c r="O165" s="7"/>
      <c r="P165" s="21">
        <v>46157</v>
      </c>
      <c r="Q165" s="43">
        <f t="shared" si="15"/>
        <v>16</v>
      </c>
      <c r="R165" s="22">
        <v>46129</v>
      </c>
      <c r="S165" s="26">
        <f t="shared" si="13"/>
        <v>22</v>
      </c>
      <c r="T165" s="29" t="str" cm="1">
        <f t="array" aca="1" ref="T165" ca="1">IFERROR(ROUND(CENTILE.SI.ENS($Q$2:$Q$2202,0.5,$E$2:$E$2202,E165,$Q$2:$Q$2202,"&gt;0"),0),"N/D")</f>
        <v>N/D</v>
      </c>
      <c r="U165" s="74">
        <f t="shared" si="14"/>
        <v>46168</v>
      </c>
    </row>
    <row r="166" spans="1:21" s="75" customFormat="1" ht="11.25" hidden="1" x14ac:dyDescent="0.2">
      <c r="A166" s="5" t="s">
        <v>55</v>
      </c>
      <c r="B166" s="5">
        <v>46143</v>
      </c>
      <c r="C166" s="5"/>
      <c r="D166" s="6">
        <v>202603034</v>
      </c>
      <c r="E166" s="7" t="s">
        <v>36</v>
      </c>
      <c r="F166" s="7" t="s">
        <v>293</v>
      </c>
      <c r="G166" s="8" t="s">
        <v>22</v>
      </c>
      <c r="H166" s="9">
        <v>45</v>
      </c>
      <c r="I166" s="7" t="s">
        <v>306</v>
      </c>
      <c r="J166" s="13">
        <v>46100</v>
      </c>
      <c r="K166" s="24">
        <v>70596.38</v>
      </c>
      <c r="L166" s="15" t="s">
        <v>34</v>
      </c>
      <c r="M166" s="18">
        <v>46167</v>
      </c>
      <c r="N166" s="44"/>
      <c r="O166" s="7"/>
      <c r="P166" s="21">
        <v>46163</v>
      </c>
      <c r="Q166" s="43">
        <f t="shared" ref="Q166:Q189" si="16">IF(P166="","En attente paiement",P166-B166)</f>
        <v>20</v>
      </c>
      <c r="R166" s="22">
        <v>46129</v>
      </c>
      <c r="S166" s="26">
        <f t="shared" si="13"/>
        <v>22</v>
      </c>
      <c r="T166" s="29" t="str" cm="1">
        <f t="array" aca="1" ref="T166" ca="1">IFERROR(ROUND(CENTILE.SI.ENS($Q$2:$Q$2202,0.5,$E$2:$E$2202,E166,$Q$2:$Q$2202,"&gt;0"),0),"N/D")</f>
        <v>N/D</v>
      </c>
      <c r="U166" s="74">
        <f t="shared" si="14"/>
        <v>46170</v>
      </c>
    </row>
    <row r="167" spans="1:21" s="75" customFormat="1" ht="11.25" hidden="1" x14ac:dyDescent="0.2">
      <c r="A167" s="5" t="s">
        <v>55</v>
      </c>
      <c r="B167" s="5">
        <v>46155</v>
      </c>
      <c r="C167" s="5"/>
      <c r="D167" s="6">
        <v>202603047</v>
      </c>
      <c r="E167" s="7" t="s">
        <v>36</v>
      </c>
      <c r="F167" s="7" t="s">
        <v>293</v>
      </c>
      <c r="G167" s="8" t="s">
        <v>22</v>
      </c>
      <c r="H167" s="9">
        <v>45</v>
      </c>
      <c r="I167" s="7" t="s">
        <v>341</v>
      </c>
      <c r="J167" s="13">
        <v>46111</v>
      </c>
      <c r="K167" s="14">
        <v>91598.68</v>
      </c>
      <c r="L167" s="15" t="s">
        <v>34</v>
      </c>
      <c r="M167" s="18"/>
      <c r="N167" s="44"/>
      <c r="O167" s="7"/>
      <c r="P167" s="21">
        <v>46169</v>
      </c>
      <c r="Q167" s="43">
        <f t="shared" si="16"/>
        <v>14</v>
      </c>
      <c r="R167" s="22">
        <v>46140</v>
      </c>
      <c r="S167" s="26">
        <f t="shared" si="13"/>
        <v>22</v>
      </c>
      <c r="T167" s="29" t="str" cm="1">
        <f t="array" aca="1" ref="T167" ca="1">IFERROR(ROUND(CENTILE.SI.ENS($Q$2:$Q$2202,0.5,$E$2:$E$2202,E167,$Q$2:$Q$2202,"&gt;0"),0),"N/D")</f>
        <v>N/D</v>
      </c>
      <c r="U167" s="74">
        <f t="shared" si="14"/>
        <v>46182</v>
      </c>
    </row>
    <row r="168" spans="1:21" s="75" customFormat="1" ht="11.25" hidden="1" x14ac:dyDescent="0.2">
      <c r="A168" s="5" t="s">
        <v>55</v>
      </c>
      <c r="B168" s="5">
        <v>46162</v>
      </c>
      <c r="C168" s="5"/>
      <c r="D168" s="6">
        <v>202604006</v>
      </c>
      <c r="E168" s="7" t="s">
        <v>36</v>
      </c>
      <c r="F168" s="7" t="s">
        <v>345</v>
      </c>
      <c r="G168" s="8" t="s">
        <v>22</v>
      </c>
      <c r="H168" s="9">
        <v>45</v>
      </c>
      <c r="I168" s="7" t="s">
        <v>172</v>
      </c>
      <c r="J168" s="13">
        <v>46118</v>
      </c>
      <c r="K168" s="14">
        <v>56325.43</v>
      </c>
      <c r="L168" s="15" t="s">
        <v>34</v>
      </c>
      <c r="M168" s="18"/>
      <c r="N168" s="44"/>
      <c r="O168" s="7"/>
      <c r="P168" s="21">
        <v>46182</v>
      </c>
      <c r="Q168" s="43">
        <f t="shared" si="16"/>
        <v>20</v>
      </c>
      <c r="R168" s="22">
        <v>46139</v>
      </c>
      <c r="S168" s="26">
        <f t="shared" si="13"/>
        <v>22</v>
      </c>
      <c r="T168" s="29" t="str" cm="1">
        <f t="array" aca="1" ref="T168" ca="1">IFERROR(ROUND(CENTILE.SI.ENS($Q$2:$Q$2202,0.5,$E$2:$E$2202,E168,$Q$2:$Q$2202,"&gt;0"),0),"N/D")</f>
        <v>N/D</v>
      </c>
      <c r="U168" s="74">
        <f t="shared" si="14"/>
        <v>46189</v>
      </c>
    </row>
    <row r="169" spans="1:21" s="75" customFormat="1" ht="11.25" hidden="1" x14ac:dyDescent="0.2">
      <c r="A169" s="5" t="s">
        <v>55</v>
      </c>
      <c r="B169" s="5">
        <v>46170</v>
      </c>
      <c r="C169" s="5"/>
      <c r="D169" s="6">
        <v>202604027</v>
      </c>
      <c r="E169" s="7" t="s">
        <v>36</v>
      </c>
      <c r="F169" s="7" t="s">
        <v>47</v>
      </c>
      <c r="G169" s="8" t="s">
        <v>22</v>
      </c>
      <c r="H169" s="9">
        <v>45</v>
      </c>
      <c r="I169" s="7" t="s">
        <v>374</v>
      </c>
      <c r="J169" s="13">
        <v>46126</v>
      </c>
      <c r="K169" s="14">
        <v>79459.41</v>
      </c>
      <c r="L169" s="15" t="s">
        <v>34</v>
      </c>
      <c r="M169" s="18"/>
      <c r="N169" s="44"/>
      <c r="O169" s="7"/>
      <c r="P169" s="21">
        <v>46191</v>
      </c>
      <c r="Q169" s="43">
        <f t="shared" si="16"/>
        <v>21</v>
      </c>
      <c r="R169" s="22">
        <v>46160</v>
      </c>
      <c r="S169" s="26">
        <f t="shared" si="13"/>
        <v>22</v>
      </c>
      <c r="T169" s="29" t="str" cm="1">
        <f t="array" aca="1" ref="T169" ca="1">IFERROR(ROUND(CENTILE.SI.ENS($Q$2:$Q$2202,0.5,$E$2:$E$2202,E169,$Q$2:$Q$2202,"&gt;0"),0),"N/D")</f>
        <v>N/D</v>
      </c>
      <c r="U169" s="74">
        <f t="shared" si="14"/>
        <v>46197</v>
      </c>
    </row>
    <row r="170" spans="1:21" s="75" customFormat="1" hidden="1" x14ac:dyDescent="0.2">
      <c r="A170" s="5" t="s">
        <v>55</v>
      </c>
      <c r="B170" s="5">
        <v>46171</v>
      </c>
      <c r="C170" s="5"/>
      <c r="D170" s="6">
        <v>202604016</v>
      </c>
      <c r="E170" s="7" t="s">
        <v>36</v>
      </c>
      <c r="F170" s="7" t="s">
        <v>345</v>
      </c>
      <c r="G170" s="8" t="s">
        <v>22</v>
      </c>
      <c r="H170" s="9">
        <v>45</v>
      </c>
      <c r="I170" s="7" t="s">
        <v>363</v>
      </c>
      <c r="J170" s="13">
        <v>46127</v>
      </c>
      <c r="K170" s="14">
        <v>101824.65</v>
      </c>
      <c r="L170" s="15" t="s">
        <v>34</v>
      </c>
      <c r="M170" s="16"/>
      <c r="N170" s="44"/>
      <c r="O170" s="17"/>
      <c r="P170" s="21">
        <v>46196</v>
      </c>
      <c r="Q170" s="43">
        <f t="shared" si="16"/>
        <v>25</v>
      </c>
      <c r="R170" s="22">
        <v>46160</v>
      </c>
      <c r="S170" s="26">
        <f t="shared" si="13"/>
        <v>22</v>
      </c>
      <c r="T170" s="29" t="str" cm="1">
        <f t="array" aca="1" ref="T170" ca="1">IFERROR(ROUND(CENTILE.SI.ENS($Q$2:$Q$2202,0.5,$E$2:$E$2202,E170,$Q$2:$Q$2202,"&gt;0"),0),"N/D")</f>
        <v>N/D</v>
      </c>
      <c r="U170" s="74">
        <f t="shared" si="14"/>
        <v>46198</v>
      </c>
    </row>
    <row r="171" spans="1:21" s="75" customFormat="1" hidden="1" x14ac:dyDescent="0.2">
      <c r="A171" s="5" t="s">
        <v>55</v>
      </c>
      <c r="B171" s="5">
        <v>46171</v>
      </c>
      <c r="C171" s="5"/>
      <c r="D171" s="6">
        <v>202604034</v>
      </c>
      <c r="E171" s="7" t="s">
        <v>36</v>
      </c>
      <c r="F171" s="7" t="s">
        <v>265</v>
      </c>
      <c r="G171" s="8" t="s">
        <v>22</v>
      </c>
      <c r="H171" s="9">
        <v>45</v>
      </c>
      <c r="I171" s="7" t="s">
        <v>90</v>
      </c>
      <c r="J171" s="13">
        <v>46129</v>
      </c>
      <c r="K171" s="14">
        <v>123690.29</v>
      </c>
      <c r="L171" s="15" t="s">
        <v>34</v>
      </c>
      <c r="M171" s="16"/>
      <c r="N171" s="44"/>
      <c r="O171" s="17"/>
      <c r="P171" s="21">
        <v>46196</v>
      </c>
      <c r="Q171" s="43">
        <f t="shared" si="16"/>
        <v>25</v>
      </c>
      <c r="R171" s="22">
        <v>46159</v>
      </c>
      <c r="S171" s="26">
        <f t="shared" si="13"/>
        <v>22</v>
      </c>
      <c r="T171" s="29" t="str" cm="1">
        <f t="array" aca="1" ref="T171" ca="1">IFERROR(ROUND(CENTILE.SI.ENS($Q$2:$Q$2202,0.5,$E$2:$E$2202,E171,$Q$2:$Q$2202,"&gt;0"),0),"N/D")</f>
        <v>N/D</v>
      </c>
      <c r="U171" s="74">
        <f t="shared" si="14"/>
        <v>46198</v>
      </c>
    </row>
    <row r="172" spans="1:21" s="75" customFormat="1" hidden="1" x14ac:dyDescent="0.2">
      <c r="A172" s="5" t="s">
        <v>55</v>
      </c>
      <c r="B172" s="5">
        <v>46175</v>
      </c>
      <c r="C172" s="5"/>
      <c r="D172" s="6">
        <v>202604024</v>
      </c>
      <c r="E172" s="7" t="s">
        <v>36</v>
      </c>
      <c r="F172" s="7" t="s">
        <v>367</v>
      </c>
      <c r="G172" s="8" t="s">
        <v>22</v>
      </c>
      <c r="H172" s="9">
        <v>45</v>
      </c>
      <c r="I172" s="7" t="s">
        <v>368</v>
      </c>
      <c r="J172" s="13">
        <v>46131</v>
      </c>
      <c r="K172" s="14">
        <v>83825.279999999999</v>
      </c>
      <c r="L172" s="15" t="s">
        <v>20</v>
      </c>
      <c r="M172" s="16"/>
      <c r="N172" s="44"/>
      <c r="O172" s="17"/>
      <c r="P172" s="21">
        <v>46203</v>
      </c>
      <c r="Q172" s="43">
        <f t="shared" si="16"/>
        <v>28</v>
      </c>
      <c r="R172" s="22">
        <v>46139</v>
      </c>
      <c r="S172" s="26">
        <f t="shared" si="13"/>
        <v>22</v>
      </c>
      <c r="T172" s="29" t="str" cm="1">
        <f t="array" aca="1" ref="T172" ca="1">IFERROR(ROUND(CENTILE.SI.ENS($Q$2:$Q$2202,0.5,$E$2:$E$2202,E172,$Q$2:$Q$2202,"&gt;0"),0),"N/D")</f>
        <v>N/D</v>
      </c>
      <c r="U172" s="74">
        <f t="shared" si="14"/>
        <v>46202</v>
      </c>
    </row>
    <row r="173" spans="1:21" s="75" customFormat="1" hidden="1" x14ac:dyDescent="0.2">
      <c r="A173" s="5" t="s">
        <v>55</v>
      </c>
      <c r="B173" s="5">
        <v>46177</v>
      </c>
      <c r="C173" s="5"/>
      <c r="D173" s="6">
        <v>202604040</v>
      </c>
      <c r="E173" s="7" t="s">
        <v>36</v>
      </c>
      <c r="F173" s="7" t="s">
        <v>397</v>
      </c>
      <c r="G173" s="8" t="s">
        <v>22</v>
      </c>
      <c r="H173" s="9">
        <v>45</v>
      </c>
      <c r="I173" s="7" t="s">
        <v>398</v>
      </c>
      <c r="J173" s="13">
        <v>46133</v>
      </c>
      <c r="K173" s="14">
        <v>63120.24</v>
      </c>
      <c r="L173" s="15" t="s">
        <v>34</v>
      </c>
      <c r="M173" s="16"/>
      <c r="N173" s="44"/>
      <c r="O173" s="17"/>
      <c r="P173" s="21">
        <v>46209</v>
      </c>
      <c r="Q173" s="43">
        <f t="shared" si="16"/>
        <v>32</v>
      </c>
      <c r="R173" s="22">
        <v>46154</v>
      </c>
      <c r="S173" s="26">
        <f t="shared" si="13"/>
        <v>22</v>
      </c>
      <c r="T173" s="29" t="str" cm="1">
        <f t="array" aca="1" ref="T173" ca="1">IFERROR(ROUND(CENTILE.SI.ENS($Q$2:$Q$2202,0.5,$E$2:$E$2202,E173,$Q$2:$Q$2202,"&gt;0"),0),"N/D")</f>
        <v>N/D</v>
      </c>
      <c r="U173" s="74">
        <f t="shared" si="14"/>
        <v>46204</v>
      </c>
    </row>
    <row r="174" spans="1:21" s="75" customFormat="1" hidden="1" x14ac:dyDescent="0.2">
      <c r="A174" s="5" t="s">
        <v>55</v>
      </c>
      <c r="B174" s="5">
        <v>46178</v>
      </c>
      <c r="C174" s="5"/>
      <c r="D174" s="6">
        <v>35</v>
      </c>
      <c r="E174" s="7" t="s">
        <v>36</v>
      </c>
      <c r="F174" s="7" t="s">
        <v>138</v>
      </c>
      <c r="G174" s="8" t="s">
        <v>22</v>
      </c>
      <c r="H174" s="9">
        <v>45</v>
      </c>
      <c r="I174" s="7" t="s">
        <v>42</v>
      </c>
      <c r="J174" s="13">
        <v>46136</v>
      </c>
      <c r="K174" s="14">
        <v>40126.870000000003</v>
      </c>
      <c r="L174" s="15" t="s">
        <v>34</v>
      </c>
      <c r="M174" s="16"/>
      <c r="N174" s="44"/>
      <c r="O174" s="17"/>
      <c r="P174" s="21">
        <v>46201</v>
      </c>
      <c r="Q174" s="43">
        <f t="shared" si="16"/>
        <v>23</v>
      </c>
      <c r="R174" s="22">
        <v>46199</v>
      </c>
      <c r="S174" s="26">
        <f t="shared" si="13"/>
        <v>22</v>
      </c>
      <c r="T174" s="29" t="str" cm="1">
        <f t="array" aca="1" ref="T174" ca="1">IFERROR(ROUND(CENTILE.SI.ENS($Q$2:$Q$2202,0.5,$E$2:$E$2202,E174,$Q$2:$Q$2202,"&gt;0"),0),"N/D")</f>
        <v>N/D</v>
      </c>
      <c r="U174" s="74">
        <f t="shared" si="14"/>
        <v>46205</v>
      </c>
    </row>
    <row r="175" spans="1:21" s="75" customFormat="1" hidden="1" x14ac:dyDescent="0.2">
      <c r="A175" s="5" t="s">
        <v>55</v>
      </c>
      <c r="B175" s="5">
        <v>46185</v>
      </c>
      <c r="C175" s="5"/>
      <c r="D175" s="6">
        <v>202605009</v>
      </c>
      <c r="E175" s="7" t="s">
        <v>36</v>
      </c>
      <c r="F175" s="7" t="s">
        <v>345</v>
      </c>
      <c r="G175" s="8" t="s">
        <v>22</v>
      </c>
      <c r="H175" s="9">
        <v>45</v>
      </c>
      <c r="I175" s="7" t="s">
        <v>374</v>
      </c>
      <c r="J175" s="13">
        <v>46143</v>
      </c>
      <c r="K175" s="14">
        <v>61852.959999999999</v>
      </c>
      <c r="L175" s="15" t="s">
        <v>34</v>
      </c>
      <c r="M175" s="16"/>
      <c r="N175" s="44"/>
      <c r="O175" s="17"/>
      <c r="P175" s="21">
        <v>46211</v>
      </c>
      <c r="Q175" s="43">
        <f t="shared" si="16"/>
        <v>26</v>
      </c>
      <c r="R175" s="22">
        <v>46170</v>
      </c>
      <c r="S175" s="26">
        <f t="shared" si="13"/>
        <v>22</v>
      </c>
      <c r="T175" s="29" t="str" cm="1">
        <f t="array" aca="1" ref="T175" ca="1">IFERROR(ROUND(CENTILE.SI.ENS($Q$2:$Q$2202,0.5,$E$2:$E$2202,E175,$Q$2:$Q$2202,"&gt;0"),0),"N/D")</f>
        <v>N/D</v>
      </c>
      <c r="U175" s="74">
        <f t="shared" si="14"/>
        <v>46212</v>
      </c>
    </row>
    <row r="176" spans="1:21" s="75" customFormat="1" hidden="1" x14ac:dyDescent="0.2">
      <c r="A176" s="5" t="s">
        <v>55</v>
      </c>
      <c r="B176" s="5">
        <v>46192</v>
      </c>
      <c r="C176" s="5"/>
      <c r="D176" s="6">
        <v>202605012</v>
      </c>
      <c r="E176" s="7" t="s">
        <v>36</v>
      </c>
      <c r="F176" s="7" t="s">
        <v>47</v>
      </c>
      <c r="G176" s="8" t="s">
        <v>22</v>
      </c>
      <c r="H176" s="9">
        <v>45</v>
      </c>
      <c r="I176" s="7" t="s">
        <v>171</v>
      </c>
      <c r="J176" s="13">
        <v>46149</v>
      </c>
      <c r="K176" s="14">
        <v>64470.45</v>
      </c>
      <c r="L176" s="15" t="s">
        <v>34</v>
      </c>
      <c r="M176" s="16"/>
      <c r="N176" s="44"/>
      <c r="O176" s="17"/>
      <c r="P176" s="21">
        <v>46216</v>
      </c>
      <c r="Q176" s="43">
        <f t="shared" si="16"/>
        <v>24</v>
      </c>
      <c r="R176" s="22">
        <v>46174</v>
      </c>
      <c r="S176" s="26">
        <f t="shared" si="13"/>
        <v>22</v>
      </c>
      <c r="T176" s="29" t="str" cm="1">
        <f t="array" aca="1" ref="T176" ca="1">IFERROR(ROUND(CENTILE.SI.ENS($Q$2:$Q$2202,0.5,$E$2:$E$2202,E176,$Q$2:$Q$2202,"&gt;0"),0),"N/D")</f>
        <v>N/D</v>
      </c>
      <c r="U176" s="74">
        <f t="shared" si="14"/>
        <v>46219</v>
      </c>
    </row>
    <row r="177" spans="1:21" s="75" customFormat="1" hidden="1" x14ac:dyDescent="0.2">
      <c r="A177" s="5" t="s">
        <v>55</v>
      </c>
      <c r="B177" s="5">
        <v>46199</v>
      </c>
      <c r="C177" s="5"/>
      <c r="D177" s="6">
        <v>202605021</v>
      </c>
      <c r="E177" s="7" t="s">
        <v>36</v>
      </c>
      <c r="F177" s="7" t="s">
        <v>47</v>
      </c>
      <c r="G177" s="8" t="s">
        <v>22</v>
      </c>
      <c r="H177" s="9">
        <v>45</v>
      </c>
      <c r="I177" s="7" t="s">
        <v>228</v>
      </c>
      <c r="J177" s="13">
        <v>46155</v>
      </c>
      <c r="K177" s="24">
        <v>68311.86</v>
      </c>
      <c r="L177" s="15" t="s">
        <v>34</v>
      </c>
      <c r="M177" s="16">
        <v>46208</v>
      </c>
      <c r="N177" s="44"/>
      <c r="O177" s="17"/>
      <c r="P177" s="21">
        <v>46218</v>
      </c>
      <c r="Q177" s="43">
        <f t="shared" si="16"/>
        <v>19</v>
      </c>
      <c r="R177" s="22">
        <v>46188</v>
      </c>
      <c r="S177" s="26">
        <f t="shared" si="13"/>
        <v>22</v>
      </c>
      <c r="T177" s="29" t="str" cm="1">
        <f t="array" aca="1" ref="T177" ca="1">IFERROR(ROUND(CENTILE.SI.ENS($Q$2:$Q$2202,0.5,$E$2:$E$2202,E177,$Q$2:$Q$2202,"&gt;0"),0),"N/D")</f>
        <v>N/D</v>
      </c>
      <c r="U177" s="74">
        <f t="shared" si="14"/>
        <v>46226</v>
      </c>
    </row>
    <row r="178" spans="1:21" s="75" customFormat="1" hidden="1" x14ac:dyDescent="0.2">
      <c r="A178" s="5" t="s">
        <v>55</v>
      </c>
      <c r="B178" s="5">
        <v>46199</v>
      </c>
      <c r="C178" s="5"/>
      <c r="D178" s="6">
        <v>202605027</v>
      </c>
      <c r="E178" s="7" t="s">
        <v>36</v>
      </c>
      <c r="F178" s="7" t="s">
        <v>293</v>
      </c>
      <c r="G178" s="8" t="s">
        <v>22</v>
      </c>
      <c r="H178" s="9">
        <v>45</v>
      </c>
      <c r="I178" s="7" t="s">
        <v>171</v>
      </c>
      <c r="J178" s="13">
        <v>46157</v>
      </c>
      <c r="K178" s="24">
        <v>94007.16</v>
      </c>
      <c r="L178" s="15" t="s">
        <v>34</v>
      </c>
      <c r="M178" s="16">
        <v>46205</v>
      </c>
      <c r="N178" s="44"/>
      <c r="O178" s="17"/>
      <c r="P178" s="21">
        <v>46218</v>
      </c>
      <c r="Q178" s="43">
        <f t="shared" si="16"/>
        <v>19</v>
      </c>
      <c r="R178" s="22">
        <v>46183</v>
      </c>
      <c r="S178" s="26">
        <f t="shared" si="13"/>
        <v>22</v>
      </c>
      <c r="T178" s="29" t="str" cm="1">
        <f t="array" aca="1" ref="T178" ca="1">IFERROR(ROUND(CENTILE.SI.ENS($Q$2:$Q$2202,0.5,$E$2:$E$2202,E178,$Q$2:$Q$2202,"&gt;0"),0),"N/D")</f>
        <v>N/D</v>
      </c>
      <c r="U178" s="74">
        <f t="shared" si="14"/>
        <v>46226</v>
      </c>
    </row>
    <row r="179" spans="1:21" s="75" customFormat="1" hidden="1" x14ac:dyDescent="0.2">
      <c r="A179" s="5" t="s">
        <v>55</v>
      </c>
      <c r="B179" s="5">
        <v>46202</v>
      </c>
      <c r="C179" s="5"/>
      <c r="D179" s="6">
        <v>202605024</v>
      </c>
      <c r="E179" s="7" t="s">
        <v>36</v>
      </c>
      <c r="F179" s="7" t="s">
        <v>434</v>
      </c>
      <c r="G179" s="8" t="s">
        <v>22</v>
      </c>
      <c r="H179" s="9">
        <v>45</v>
      </c>
      <c r="I179" s="7" t="s">
        <v>171</v>
      </c>
      <c r="J179" s="13">
        <v>46158</v>
      </c>
      <c r="K179" s="24">
        <v>58822.05</v>
      </c>
      <c r="L179" s="15" t="s">
        <v>34</v>
      </c>
      <c r="M179" s="16">
        <v>46206</v>
      </c>
      <c r="N179" s="44"/>
      <c r="O179" s="17"/>
      <c r="P179" s="21">
        <v>46218</v>
      </c>
      <c r="Q179" s="43">
        <f t="shared" si="16"/>
        <v>16</v>
      </c>
      <c r="R179" s="22">
        <v>46182</v>
      </c>
      <c r="S179" s="26">
        <f t="shared" si="13"/>
        <v>22</v>
      </c>
      <c r="T179" s="29" t="str" cm="1">
        <f t="array" aca="1" ref="T179" ca="1">IFERROR(ROUND(CENTILE.SI.ENS($Q$2:$Q$2202,0.5,$E$2:$E$2202,E179,$Q$2:$Q$2202,"&gt;0"),0),"N/D")</f>
        <v>N/D</v>
      </c>
      <c r="U179" s="74">
        <f t="shared" si="14"/>
        <v>46229</v>
      </c>
    </row>
    <row r="180" spans="1:21" s="75" customFormat="1" hidden="1" x14ac:dyDescent="0.2">
      <c r="A180" s="5" t="s">
        <v>55</v>
      </c>
      <c r="B180" s="5">
        <v>46206</v>
      </c>
      <c r="C180" s="5"/>
      <c r="D180" s="6">
        <v>202605032</v>
      </c>
      <c r="E180" s="7" t="s">
        <v>36</v>
      </c>
      <c r="F180" s="7" t="s">
        <v>434</v>
      </c>
      <c r="G180" s="8" t="s">
        <v>22</v>
      </c>
      <c r="H180" s="9">
        <v>45</v>
      </c>
      <c r="I180" s="7" t="s">
        <v>217</v>
      </c>
      <c r="J180" s="13">
        <v>46163</v>
      </c>
      <c r="K180" s="14">
        <v>61750.92</v>
      </c>
      <c r="L180" s="15" t="s">
        <v>34</v>
      </c>
      <c r="M180" s="16"/>
      <c r="N180" s="44"/>
      <c r="O180" s="17"/>
      <c r="P180" s="21">
        <v>46230</v>
      </c>
      <c r="Q180" s="43">
        <f t="shared" si="16"/>
        <v>24</v>
      </c>
      <c r="R180" s="22">
        <v>46183</v>
      </c>
      <c r="S180" s="26">
        <f t="shared" si="13"/>
        <v>22</v>
      </c>
      <c r="T180" s="29" t="str" cm="1">
        <f t="array" aca="1" ref="T180" ca="1">IFERROR(ROUND(CENTILE.SI.ENS($Q$2:$Q$2202,0.5,$E$2:$E$2202,E180,$Q$2:$Q$2202,"&gt;0"),0),"N/D")</f>
        <v>N/D</v>
      </c>
      <c r="U180" s="74">
        <f t="shared" si="14"/>
        <v>46233</v>
      </c>
    </row>
    <row r="181" spans="1:21" s="75" customFormat="1" hidden="1" x14ac:dyDescent="0.2">
      <c r="A181" s="5" t="s">
        <v>55</v>
      </c>
      <c r="B181" s="5">
        <v>46213</v>
      </c>
      <c r="C181" s="5"/>
      <c r="D181" s="6">
        <v>202605031</v>
      </c>
      <c r="E181" s="7" t="s">
        <v>36</v>
      </c>
      <c r="F181" s="7" t="s">
        <v>138</v>
      </c>
      <c r="G181" s="8" t="s">
        <v>22</v>
      </c>
      <c r="H181" s="9">
        <v>45</v>
      </c>
      <c r="I181" s="7" t="s">
        <v>217</v>
      </c>
      <c r="J181" s="13">
        <v>46170</v>
      </c>
      <c r="K181" s="24">
        <v>84006.9</v>
      </c>
      <c r="L181" s="15" t="s">
        <v>34</v>
      </c>
      <c r="M181" s="16">
        <v>46239</v>
      </c>
      <c r="N181" s="44"/>
      <c r="O181" s="17"/>
      <c r="P181" s="21">
        <v>46247</v>
      </c>
      <c r="Q181" s="43">
        <f t="shared" si="16"/>
        <v>34</v>
      </c>
      <c r="R181" s="22">
        <v>46191</v>
      </c>
      <c r="S181" s="26">
        <f t="shared" si="13"/>
        <v>22</v>
      </c>
      <c r="T181" s="29" t="str" cm="1">
        <f t="array" aca="1" ref="T181" ca="1">IFERROR(ROUND(CENTILE.SI.ENS($Q$2:$Q$2202,0.5,$E$2:$E$2202,E181,$Q$2:$Q$2202,"&gt;0"),0),"N/D")</f>
        <v>N/D</v>
      </c>
      <c r="U181" s="74">
        <f t="shared" si="14"/>
        <v>46240</v>
      </c>
    </row>
    <row r="182" spans="1:21" s="75" customFormat="1" ht="11.25" hidden="1" customHeight="1" x14ac:dyDescent="0.25">
      <c r="A182" s="5" t="s">
        <v>55</v>
      </c>
      <c r="B182" s="5">
        <v>46213</v>
      </c>
      <c r="C182" s="5"/>
      <c r="D182" s="6">
        <v>43</v>
      </c>
      <c r="E182" s="7" t="s">
        <v>36</v>
      </c>
      <c r="F182" s="7" t="s">
        <v>118</v>
      </c>
      <c r="G182" s="8" t="s">
        <v>22</v>
      </c>
      <c r="H182" s="9">
        <v>45</v>
      </c>
      <c r="I182" s="7" t="s">
        <v>459</v>
      </c>
      <c r="J182" s="13">
        <v>46171</v>
      </c>
      <c r="K182" s="14">
        <v>60177.440000000002</v>
      </c>
      <c r="L182" s="15" t="s">
        <v>34</v>
      </c>
      <c r="M182" s="46"/>
      <c r="N182" s="44"/>
      <c r="O182" s="17"/>
      <c r="P182" s="21">
        <v>46238</v>
      </c>
      <c r="Q182" s="43">
        <f t="shared" si="16"/>
        <v>25</v>
      </c>
      <c r="R182" s="22">
        <v>46202</v>
      </c>
      <c r="S182" s="26">
        <f t="shared" si="13"/>
        <v>22</v>
      </c>
      <c r="T182" s="29" t="str" cm="1">
        <f t="array" aca="1" ref="T182" ca="1">IFERROR(ROUND(CENTILE.SI.ENS($Q$2:$Q$2202,0.5,$E$2:$E$2202,E182,$Q$2:$Q$2202,"&gt;0"),0),"N/D")</f>
        <v>N/D</v>
      </c>
      <c r="U182" s="74">
        <f t="shared" si="14"/>
        <v>46240</v>
      </c>
    </row>
    <row r="183" spans="1:21" s="75" customFormat="1" hidden="1" x14ac:dyDescent="0.2">
      <c r="A183" s="5" t="s">
        <v>85</v>
      </c>
      <c r="B183" s="5">
        <v>46246</v>
      </c>
      <c r="C183" s="5"/>
      <c r="D183" s="6">
        <v>202607044</v>
      </c>
      <c r="E183" s="7" t="s">
        <v>532</v>
      </c>
      <c r="F183" s="7" t="s">
        <v>533</v>
      </c>
      <c r="G183" s="8" t="s">
        <v>22</v>
      </c>
      <c r="H183" s="9">
        <v>21</v>
      </c>
      <c r="I183" s="7" t="s">
        <v>101</v>
      </c>
      <c r="J183" s="13">
        <v>46226</v>
      </c>
      <c r="K183" s="14">
        <v>479000</v>
      </c>
      <c r="L183" s="15" t="s">
        <v>20</v>
      </c>
      <c r="M183" s="16"/>
      <c r="N183" s="44"/>
      <c r="O183" s="17"/>
      <c r="P183" s="21">
        <v>46255</v>
      </c>
      <c r="Q183" s="43">
        <f t="shared" si="16"/>
        <v>9</v>
      </c>
      <c r="R183" s="22">
        <v>46223</v>
      </c>
      <c r="S183" s="26">
        <f t="shared" si="13"/>
        <v>9</v>
      </c>
      <c r="T183" s="29" t="str" cm="1">
        <f t="array" aca="1" ref="T183" ca="1">IFERROR(ROUND(CENTILE.SI.ENS($Q$2:$Q$2202,0.5,$E$2:$E$2202,E183,$Q$2:$Q$2202,"&gt;0"),0),"N/D")</f>
        <v>N/D</v>
      </c>
      <c r="U183" s="74">
        <f t="shared" si="14"/>
        <v>46257</v>
      </c>
    </row>
    <row r="184" spans="1:21" s="75" customFormat="1" hidden="1" x14ac:dyDescent="0.2">
      <c r="A184" s="5" t="s">
        <v>55</v>
      </c>
      <c r="B184" s="5">
        <v>46232</v>
      </c>
      <c r="C184" s="5"/>
      <c r="D184" s="6">
        <v>202606027</v>
      </c>
      <c r="E184" s="7" t="s">
        <v>36</v>
      </c>
      <c r="F184" s="7" t="s">
        <v>475</v>
      </c>
      <c r="G184" s="8" t="s">
        <v>22</v>
      </c>
      <c r="H184" s="9">
        <v>45</v>
      </c>
      <c r="I184" s="7" t="s">
        <v>171</v>
      </c>
      <c r="J184" s="13">
        <v>46188</v>
      </c>
      <c r="K184" s="24">
        <v>52065.18</v>
      </c>
      <c r="L184" s="15" t="s">
        <v>34</v>
      </c>
      <c r="M184" s="16">
        <v>46262</v>
      </c>
      <c r="N184" s="44"/>
      <c r="O184" s="17"/>
      <c r="P184" s="21">
        <v>46252</v>
      </c>
      <c r="Q184" s="43">
        <f t="shared" si="16"/>
        <v>20</v>
      </c>
      <c r="R184" s="22">
        <v>46210</v>
      </c>
      <c r="S184" s="26">
        <f t="shared" si="13"/>
        <v>22</v>
      </c>
      <c r="T184" s="29" t="str" cm="1">
        <f t="array" aca="1" ref="T184" ca="1">IFERROR(ROUND(CENTILE.SI.ENS($Q$2:$Q$2202,0.5,$E$2:$E$2202,E184,$Q$2:$Q$2202,"&gt;0"),0),"N/D")</f>
        <v>N/D</v>
      </c>
      <c r="U184" s="74">
        <f t="shared" si="14"/>
        <v>46259</v>
      </c>
    </row>
    <row r="185" spans="1:21" s="75" customFormat="1" ht="11.25" x14ac:dyDescent="0.2">
      <c r="A185" s="5" t="s">
        <v>55</v>
      </c>
      <c r="B185" s="5">
        <v>46246</v>
      </c>
      <c r="C185" s="5"/>
      <c r="D185" s="6">
        <v>202606044</v>
      </c>
      <c r="E185" s="7" t="s">
        <v>36</v>
      </c>
      <c r="F185" s="7" t="s">
        <v>345</v>
      </c>
      <c r="G185" s="8" t="s">
        <v>22</v>
      </c>
      <c r="H185" s="9">
        <v>45</v>
      </c>
      <c r="I185" s="7" t="s">
        <v>398</v>
      </c>
      <c r="J185" s="13">
        <v>46202</v>
      </c>
      <c r="K185" s="24">
        <v>64382.38</v>
      </c>
      <c r="L185" s="15" t="s">
        <v>34</v>
      </c>
      <c r="M185" s="18">
        <v>46275</v>
      </c>
      <c r="N185" s="14"/>
      <c r="O185" s="7"/>
      <c r="P185" s="21"/>
      <c r="Q185" s="43" t="str">
        <f t="shared" si="16"/>
        <v>En attente paiement</v>
      </c>
      <c r="R185" s="22">
        <v>46294</v>
      </c>
      <c r="S185" s="26">
        <f t="shared" si="13"/>
        <v>22</v>
      </c>
      <c r="T185" s="29" t="str" cm="1">
        <f t="array" aca="1" ref="T185" ca="1">IFERROR(ROUND(CENTILE.SI.ENS($Q$2:$Q$2202,0.5,$E$2:$E$2202,E185,$Q$2:$Q$2202,"&gt;0"),0),"N/D")</f>
        <v>N/D</v>
      </c>
      <c r="U185" s="74">
        <f t="shared" si="14"/>
        <v>46273</v>
      </c>
    </row>
    <row r="186" spans="1:21" s="75" customFormat="1" ht="11.25" x14ac:dyDescent="0.2">
      <c r="A186" s="5" t="s">
        <v>58</v>
      </c>
      <c r="B186" s="5">
        <v>46247</v>
      </c>
      <c r="C186" s="5"/>
      <c r="D186" s="6">
        <v>202607031</v>
      </c>
      <c r="E186" s="7" t="s">
        <v>463</v>
      </c>
      <c r="F186" s="7" t="s">
        <v>521</v>
      </c>
      <c r="G186" s="8" t="s">
        <v>19</v>
      </c>
      <c r="H186" s="9">
        <v>30</v>
      </c>
      <c r="I186" s="7" t="s">
        <v>522</v>
      </c>
      <c r="J186" s="13">
        <v>46218</v>
      </c>
      <c r="K186" s="14">
        <v>236902.23</v>
      </c>
      <c r="L186" s="15" t="s">
        <v>20</v>
      </c>
      <c r="M186" s="18"/>
      <c r="N186" s="14"/>
      <c r="O186" s="7"/>
      <c r="P186" s="21"/>
      <c r="Q186" s="43" t="str">
        <f t="shared" si="16"/>
        <v>En attente paiement</v>
      </c>
      <c r="R186" s="22">
        <v>46245</v>
      </c>
      <c r="S186" s="26">
        <f t="shared" si="13"/>
        <v>10</v>
      </c>
      <c r="T186" s="29" t="str" cm="1">
        <f t="array" aca="1" ref="T186" ca="1">IFERROR(ROUND(CENTILE.SI.ENS($Q$2:$Q$2202,0.5,$E$2:$E$2202,E186,$Q$2:$Q$2202,"&gt;0"),0),"N/D")</f>
        <v>N/D</v>
      </c>
      <c r="U186" s="74">
        <f t="shared" si="14"/>
        <v>46259</v>
      </c>
    </row>
    <row r="187" spans="1:21" s="75" customFormat="1" ht="11.25" x14ac:dyDescent="0.2">
      <c r="A187" s="5" t="s">
        <v>55</v>
      </c>
      <c r="B187" s="5">
        <v>46247</v>
      </c>
      <c r="C187" s="5"/>
      <c r="D187" s="6">
        <v>202607038</v>
      </c>
      <c r="E187" s="7" t="s">
        <v>23</v>
      </c>
      <c r="F187" s="7" t="s">
        <v>24</v>
      </c>
      <c r="G187" s="8" t="s">
        <v>19</v>
      </c>
      <c r="H187" s="9">
        <v>21</v>
      </c>
      <c r="I187" s="7" t="s">
        <v>25</v>
      </c>
      <c r="J187" s="13">
        <v>46227</v>
      </c>
      <c r="K187" s="14">
        <v>240</v>
      </c>
      <c r="L187" s="15" t="s">
        <v>20</v>
      </c>
      <c r="M187" s="18"/>
      <c r="N187" s="14"/>
      <c r="O187" s="7"/>
      <c r="P187" s="21"/>
      <c r="Q187" s="43" t="str">
        <f t="shared" si="16"/>
        <v>En attente paiement</v>
      </c>
      <c r="R187" s="22"/>
      <c r="S187" s="26">
        <f t="shared" si="13"/>
        <v>11</v>
      </c>
      <c r="T187" s="29" t="str" cm="1">
        <f t="array" aca="1" ref="T187" ca="1">IFERROR(ROUND(CENTILE.SI.ENS($Q$2:$Q$2202,0.5,$E$2:$E$2202,E187,$Q$2:$Q$2202,"&gt;0"),0),"N/D")</f>
        <v>N/D</v>
      </c>
      <c r="U187" s="74">
        <f t="shared" si="14"/>
        <v>46260</v>
      </c>
    </row>
    <row r="188" spans="1:21" s="75" customFormat="1" ht="11.25" x14ac:dyDescent="0.2">
      <c r="A188" s="5" t="s">
        <v>55</v>
      </c>
      <c r="B188" s="5">
        <v>46247</v>
      </c>
      <c r="C188" s="5"/>
      <c r="D188" s="6">
        <v>202607039</v>
      </c>
      <c r="E188" s="7" t="s">
        <v>26</v>
      </c>
      <c r="F188" s="7" t="s">
        <v>24</v>
      </c>
      <c r="G188" s="8" t="s">
        <v>19</v>
      </c>
      <c r="H188" s="9">
        <v>21</v>
      </c>
      <c r="I188" s="7" t="s">
        <v>25</v>
      </c>
      <c r="J188" s="13">
        <v>46227</v>
      </c>
      <c r="K188" s="14">
        <v>240</v>
      </c>
      <c r="L188" s="15" t="s">
        <v>20</v>
      </c>
      <c r="M188" s="18"/>
      <c r="N188" s="14"/>
      <c r="O188" s="7"/>
      <c r="P188" s="21"/>
      <c r="Q188" s="43" t="str">
        <f t="shared" si="16"/>
        <v>En attente paiement</v>
      </c>
      <c r="R188" s="22"/>
      <c r="S188" s="26">
        <f t="shared" si="13"/>
        <v>13</v>
      </c>
      <c r="T188" s="29" t="str" cm="1">
        <f t="array" aca="1" ref="T188" ca="1">IFERROR(ROUND(CENTILE.SI.ENS($Q$2:$Q$2202,0.5,$E$2:$E$2202,E188,$Q$2:$Q$2202,"&gt;0"),0),"N/D")</f>
        <v>N/D</v>
      </c>
      <c r="U188" s="74">
        <f t="shared" si="14"/>
        <v>46263</v>
      </c>
    </row>
    <row r="189" spans="1:21" s="75" customFormat="1" ht="11.25" x14ac:dyDescent="0.2">
      <c r="A189" s="5" t="s">
        <v>58</v>
      </c>
      <c r="B189" s="5">
        <v>46251</v>
      </c>
      <c r="C189" s="5"/>
      <c r="D189" s="6">
        <v>202607009</v>
      </c>
      <c r="E189" s="7" t="s">
        <v>457</v>
      </c>
      <c r="F189" s="7" t="s">
        <v>232</v>
      </c>
      <c r="G189" s="8" t="s">
        <v>19</v>
      </c>
      <c r="H189" s="9">
        <v>45</v>
      </c>
      <c r="I189" s="7" t="s">
        <v>498</v>
      </c>
      <c r="J189" s="13">
        <v>46207</v>
      </c>
      <c r="K189" s="14">
        <v>122343.03999999999</v>
      </c>
      <c r="L189" s="15" t="s">
        <v>20</v>
      </c>
      <c r="M189" s="18"/>
      <c r="N189" s="14"/>
      <c r="O189" s="7"/>
      <c r="P189" s="21"/>
      <c r="Q189" s="43" t="str">
        <f t="shared" si="16"/>
        <v>En attente paiement</v>
      </c>
      <c r="R189" s="22">
        <v>46223</v>
      </c>
      <c r="S189" s="26" t="str">
        <f t="shared" si="13"/>
        <v>N/D</v>
      </c>
      <c r="T189" s="29" t="str" cm="1">
        <f t="array" aca="1" ref="T189" ca="1">IFERROR(ROUND(CENTILE.SI.ENS($Q$2:$Q$2202,0.5,$E$2:$E$2202,E189,$Q$2:$Q$2202,"&gt;0"),0),"N/D")</f>
        <v>N/D</v>
      </c>
      <c r="U189" s="74" t="str">
        <f t="shared" si="14"/>
        <v>N/D</v>
      </c>
    </row>
    <row r="190" spans="1:21" s="75" customFormat="1" ht="11.25" hidden="1" x14ac:dyDescent="0.2">
      <c r="A190" s="35" t="s">
        <v>55</v>
      </c>
      <c r="B190" s="35">
        <v>46066</v>
      </c>
      <c r="C190" s="35"/>
      <c r="D190" s="36">
        <v>202601018</v>
      </c>
      <c r="E190" s="37" t="s">
        <v>38</v>
      </c>
      <c r="F190" s="37" t="s">
        <v>114</v>
      </c>
      <c r="G190" s="38" t="s">
        <v>19</v>
      </c>
      <c r="H190" s="39">
        <v>30</v>
      </c>
      <c r="I190" s="40" t="s">
        <v>113</v>
      </c>
      <c r="J190" s="38">
        <v>46037</v>
      </c>
      <c r="K190" s="41">
        <v>81620</v>
      </c>
      <c r="L190" s="42" t="s">
        <v>20</v>
      </c>
      <c r="M190" s="18">
        <v>46080</v>
      </c>
      <c r="N190" s="44">
        <v>81620</v>
      </c>
      <c r="O190" s="7"/>
      <c r="P190" s="21">
        <v>46076</v>
      </c>
      <c r="Q190" s="43">
        <f t="shared" ref="Q190:Q221" si="17">IF(P190="","En attente paiement",P190-B190)</f>
        <v>10</v>
      </c>
      <c r="R190" s="21">
        <v>46057</v>
      </c>
      <c r="S190" s="26">
        <f t="shared" si="13"/>
        <v>2</v>
      </c>
      <c r="T190" s="29" t="str" cm="1">
        <f t="array" aca="1" ref="T190" ca="1">IFERROR(ROUND(CENTILE.SI.ENS($Q$2:$Q$2202,0.5,$E$2:$E$2202,E190,$Q$2:$Q$2202,"&gt;0"),0),"N/D")</f>
        <v>N/D</v>
      </c>
      <c r="U190" s="74">
        <f t="shared" si="14"/>
        <v>46069</v>
      </c>
    </row>
    <row r="191" spans="1:21" s="75" customFormat="1" hidden="1" x14ac:dyDescent="0.2">
      <c r="A191" s="5" t="s">
        <v>268</v>
      </c>
      <c r="B191" s="5">
        <v>46253</v>
      </c>
      <c r="C191" s="5"/>
      <c r="D191" s="6">
        <v>202607045</v>
      </c>
      <c r="E191" s="7" t="s">
        <v>319</v>
      </c>
      <c r="F191" s="7" t="s">
        <v>467</v>
      </c>
      <c r="G191" s="8" t="s">
        <v>131</v>
      </c>
      <c r="H191" s="9">
        <v>30</v>
      </c>
      <c r="I191" s="7" t="s">
        <v>534</v>
      </c>
      <c r="J191" s="13">
        <v>46224</v>
      </c>
      <c r="K191" s="14">
        <v>80061.75</v>
      </c>
      <c r="L191" s="15" t="s">
        <v>20</v>
      </c>
      <c r="M191" s="16"/>
      <c r="N191" s="44"/>
      <c r="O191" s="17"/>
      <c r="P191" s="21">
        <v>46254</v>
      </c>
      <c r="Q191" s="43">
        <f t="shared" si="17"/>
        <v>1</v>
      </c>
      <c r="R191" s="22"/>
      <c r="S191" s="26">
        <f t="shared" si="13"/>
        <v>0</v>
      </c>
      <c r="T191" s="29" t="str" cm="1">
        <f t="array" aca="1" ref="T191" ca="1">IFERROR(ROUND(CENTILE.SI.ENS($Q$2:$Q$2202,0.5,$E$2:$E$2202,E191,$Q$2:$Q$2202,"&gt;0"),0),"N/D")</f>
        <v>N/D</v>
      </c>
      <c r="U191" s="74">
        <f t="shared" si="14"/>
        <v>46252</v>
      </c>
    </row>
    <row r="192" spans="1:21" s="75" customFormat="1" ht="11.25" x14ac:dyDescent="0.2">
      <c r="A192" s="5" t="s">
        <v>55</v>
      </c>
      <c r="B192" s="5">
        <v>46253</v>
      </c>
      <c r="C192" s="5"/>
      <c r="D192" s="6">
        <v>202607015</v>
      </c>
      <c r="E192" s="7" t="s">
        <v>36</v>
      </c>
      <c r="F192" s="7" t="s">
        <v>293</v>
      </c>
      <c r="G192" s="8" t="s">
        <v>22</v>
      </c>
      <c r="H192" s="9">
        <v>45</v>
      </c>
      <c r="I192" s="7" t="s">
        <v>141</v>
      </c>
      <c r="J192" s="13">
        <v>46209</v>
      </c>
      <c r="K192" s="14">
        <v>75999.100000000006</v>
      </c>
      <c r="L192" s="15" t="s">
        <v>34</v>
      </c>
      <c r="M192" s="18"/>
      <c r="N192" s="14"/>
      <c r="O192" s="7"/>
      <c r="P192" s="21"/>
      <c r="Q192" s="43" t="str">
        <f t="shared" si="17"/>
        <v>En attente paiement</v>
      </c>
      <c r="R192" s="22"/>
      <c r="S192" s="26">
        <f t="shared" si="13"/>
        <v>22</v>
      </c>
      <c r="T192" s="29" t="str" cm="1">
        <f t="array" aca="1" ref="T192" ca="1">IFERROR(ROUND(CENTILE.SI.ENS($Q$2:$Q$2202,0.5,$E$2:$E$2202,E192,$Q$2:$Q$2202,"&gt;0"),0),"N/D")</f>
        <v>N/D</v>
      </c>
      <c r="U192" s="74">
        <f t="shared" si="14"/>
        <v>46280</v>
      </c>
    </row>
    <row r="193" spans="1:21" s="75" customFormat="1" ht="11.25" x14ac:dyDescent="0.2">
      <c r="A193" s="5" t="s">
        <v>55</v>
      </c>
      <c r="B193" s="5">
        <v>46253</v>
      </c>
      <c r="C193" s="5"/>
      <c r="D193" s="6">
        <v>202607022</v>
      </c>
      <c r="E193" s="7" t="s">
        <v>36</v>
      </c>
      <c r="F193" s="7" t="s">
        <v>514</v>
      </c>
      <c r="G193" s="8" t="s">
        <v>22</v>
      </c>
      <c r="H193" s="9">
        <v>45</v>
      </c>
      <c r="I193" s="7" t="s">
        <v>403</v>
      </c>
      <c r="J193" s="13">
        <v>46209</v>
      </c>
      <c r="K193" s="24">
        <v>92291.19</v>
      </c>
      <c r="L193" s="15" t="s">
        <v>34</v>
      </c>
      <c r="M193" s="18">
        <v>46283</v>
      </c>
      <c r="N193" s="14"/>
      <c r="O193" s="7"/>
      <c r="P193" s="21"/>
      <c r="Q193" s="43" t="str">
        <f t="shared" si="17"/>
        <v>En attente paiement</v>
      </c>
      <c r="R193" s="22">
        <v>46231</v>
      </c>
      <c r="S193" s="26">
        <f t="shared" si="13"/>
        <v>22</v>
      </c>
      <c r="T193" s="29" t="str" cm="1">
        <f t="array" aca="1" ref="T193" ca="1">IFERROR(ROUND(CENTILE.SI.ENS($Q$2:$Q$2202,0.5,$E$2:$E$2202,E193,$Q$2:$Q$2202,"&gt;0"),0),"N/D")</f>
        <v>N/D</v>
      </c>
      <c r="U193" s="74">
        <f t="shared" si="14"/>
        <v>46280</v>
      </c>
    </row>
    <row r="194" spans="1:21" s="75" customFormat="1" hidden="1" x14ac:dyDescent="0.2">
      <c r="A194" s="5" t="s">
        <v>55</v>
      </c>
      <c r="B194" s="5">
        <v>46255</v>
      </c>
      <c r="C194" s="5"/>
      <c r="D194" s="6">
        <v>202607050</v>
      </c>
      <c r="E194" s="7" t="s">
        <v>540</v>
      </c>
      <c r="F194" s="7" t="s">
        <v>541</v>
      </c>
      <c r="G194" s="8" t="s">
        <v>19</v>
      </c>
      <c r="H194" s="9">
        <v>30</v>
      </c>
      <c r="I194" s="7" t="s">
        <v>542</v>
      </c>
      <c r="J194" s="13">
        <v>46226</v>
      </c>
      <c r="K194" s="24">
        <v>67903.570000000007</v>
      </c>
      <c r="L194" s="15" t="s">
        <v>20</v>
      </c>
      <c r="M194" s="16">
        <v>46266</v>
      </c>
      <c r="N194" s="44"/>
      <c r="O194" s="17"/>
      <c r="P194" s="21">
        <v>46258</v>
      </c>
      <c r="Q194" s="43">
        <f t="shared" si="17"/>
        <v>3</v>
      </c>
      <c r="R194" s="22">
        <v>46247</v>
      </c>
      <c r="S194" s="26">
        <f t="shared" si="13"/>
        <v>3</v>
      </c>
      <c r="T194" s="29"/>
      <c r="U194" s="74">
        <f t="shared" si="14"/>
        <v>46259</v>
      </c>
    </row>
    <row r="195" spans="1:21" s="75" customFormat="1" ht="11.25" x14ac:dyDescent="0.2">
      <c r="A195" s="5" t="s">
        <v>268</v>
      </c>
      <c r="B195" s="5">
        <v>46255</v>
      </c>
      <c r="C195" s="5"/>
      <c r="D195" s="6">
        <v>202607061</v>
      </c>
      <c r="E195" s="7" t="s">
        <v>319</v>
      </c>
      <c r="F195" s="7" t="s">
        <v>538</v>
      </c>
      <c r="G195" s="8" t="s">
        <v>131</v>
      </c>
      <c r="H195" s="9">
        <v>30</v>
      </c>
      <c r="I195" s="7" t="s">
        <v>550</v>
      </c>
      <c r="J195" s="13">
        <v>46227</v>
      </c>
      <c r="K195" s="14">
        <v>12240</v>
      </c>
      <c r="L195" s="15" t="s">
        <v>34</v>
      </c>
      <c r="M195" s="18"/>
      <c r="N195" s="14"/>
      <c r="O195" s="7"/>
      <c r="P195" s="21"/>
      <c r="Q195" s="43" t="str">
        <f t="shared" si="17"/>
        <v>En attente paiement</v>
      </c>
      <c r="R195" s="22">
        <v>46258</v>
      </c>
      <c r="S195" s="26">
        <f t="shared" ref="S195" si="18">IFERROR(ROUND(AVERAGEIF($E$2:$E$2202,E195,$Q$2:$Q$2202),0),"N/D")</f>
        <v>0</v>
      </c>
      <c r="T195" s="29" t="str" cm="1">
        <f t="array" aca="1" ref="T195" ca="1">IFERROR(ROUND(CENTILE.SI.ENS($Q$2:$Q$2202,0.5,$E$2:$E$2202,E195,$Q$2:$Q$2202,"&gt;0"),0),"N/D")</f>
        <v>N/D</v>
      </c>
      <c r="U195" s="74">
        <f t="shared" ref="U195" si="19">IFERROR(B195+ROUNDUP(AVERAGEIF($E$2:$E$2202,E195,$Q$2:$Q$2202)*1.2,0),"N/D")</f>
        <v>46254</v>
      </c>
    </row>
    <row r="196" spans="1:21" s="75" customFormat="1" hidden="1" x14ac:dyDescent="0.2">
      <c r="A196" s="5" t="s">
        <v>268</v>
      </c>
      <c r="B196" s="5">
        <v>46255</v>
      </c>
      <c r="C196" s="5"/>
      <c r="D196" s="6">
        <v>202607064</v>
      </c>
      <c r="E196" s="7" t="s">
        <v>319</v>
      </c>
      <c r="F196" s="7" t="s">
        <v>445</v>
      </c>
      <c r="G196" s="8" t="s">
        <v>131</v>
      </c>
      <c r="H196" s="9">
        <v>30</v>
      </c>
      <c r="I196" s="7" t="s">
        <v>484</v>
      </c>
      <c r="J196" s="13">
        <v>46227</v>
      </c>
      <c r="K196" s="14">
        <v>55235</v>
      </c>
      <c r="L196" s="15" t="s">
        <v>20</v>
      </c>
      <c r="M196" s="16"/>
      <c r="N196" s="44"/>
      <c r="O196" s="17"/>
      <c r="P196" s="21">
        <v>46254</v>
      </c>
      <c r="Q196" s="43">
        <f t="shared" si="17"/>
        <v>-1</v>
      </c>
      <c r="R196" s="22">
        <v>46258</v>
      </c>
      <c r="S196" s="26">
        <f t="shared" ref="S195:S259" si="20">IFERROR(ROUND(AVERAGEIF($E$2:$E$2202,E196,$Q$2:$Q$2202),0),"N/D")</f>
        <v>0</v>
      </c>
      <c r="T196" s="29" t="str" cm="1">
        <f t="array" aca="1" ref="T196" ca="1">IFERROR(ROUND(CENTILE.SI.ENS($Q$2:$Q$2202,0.5,$E$2:$E$2202,E196,$Q$2:$Q$2202,"&gt;0"),0),"N/D")</f>
        <v>N/D</v>
      </c>
      <c r="U196" s="74">
        <f t="shared" ref="U195:U259" si="21">IFERROR(B196+ROUNDUP(AVERAGEIF($E$2:$E$2202,E196,$Q$2:$Q$2202)*1.2,0),"N/D")</f>
        <v>46254</v>
      </c>
    </row>
    <row r="197" spans="1:21" s="75" customFormat="1" ht="11.25" x14ac:dyDescent="0.2">
      <c r="A197" s="5" t="s">
        <v>55</v>
      </c>
      <c r="B197" s="5">
        <v>46255</v>
      </c>
      <c r="C197" s="5"/>
      <c r="D197" s="6">
        <v>202607021</v>
      </c>
      <c r="E197" s="7" t="s">
        <v>36</v>
      </c>
      <c r="F197" s="7" t="s">
        <v>140</v>
      </c>
      <c r="G197" s="8" t="s">
        <v>22</v>
      </c>
      <c r="H197" s="9">
        <v>45</v>
      </c>
      <c r="I197" s="7" t="s">
        <v>513</v>
      </c>
      <c r="J197" s="13">
        <v>46211</v>
      </c>
      <c r="K197" s="24">
        <v>47720.72</v>
      </c>
      <c r="L197" s="15" t="s">
        <v>34</v>
      </c>
      <c r="M197" s="18">
        <v>46284</v>
      </c>
      <c r="N197" s="14"/>
      <c r="O197" s="7"/>
      <c r="P197" s="21"/>
      <c r="Q197" s="43" t="str">
        <f t="shared" si="17"/>
        <v>En attente paiement</v>
      </c>
      <c r="R197" s="22">
        <v>46294</v>
      </c>
      <c r="S197" s="26">
        <f t="shared" si="20"/>
        <v>22</v>
      </c>
      <c r="T197" s="29" t="str" cm="1">
        <f t="array" aca="1" ref="T197" ca="1">IFERROR(ROUND(CENTILE.SI.ENS($Q$2:$Q$2202,0.5,$E$2:$E$2202,E197,$Q$2:$Q$2202,"&gt;0"),0),"N/D")</f>
        <v>N/D</v>
      </c>
      <c r="U197" s="74">
        <f t="shared" si="21"/>
        <v>46282</v>
      </c>
    </row>
    <row r="198" spans="1:21" s="75" customFormat="1" ht="11.25" x14ac:dyDescent="0.2">
      <c r="A198" s="5" t="s">
        <v>55</v>
      </c>
      <c r="B198" s="5">
        <v>46255</v>
      </c>
      <c r="C198" s="5"/>
      <c r="D198" s="6">
        <v>202607025</v>
      </c>
      <c r="E198" s="7" t="s">
        <v>36</v>
      </c>
      <c r="F198" s="7" t="s">
        <v>345</v>
      </c>
      <c r="G198" s="8" t="s">
        <v>22</v>
      </c>
      <c r="H198" s="9">
        <v>45</v>
      </c>
      <c r="I198" s="7" t="s">
        <v>517</v>
      </c>
      <c r="J198" s="13">
        <v>46211</v>
      </c>
      <c r="K198" s="14">
        <v>67142.899999999994</v>
      </c>
      <c r="L198" s="15" t="s">
        <v>34</v>
      </c>
      <c r="M198" s="18"/>
      <c r="N198" s="14"/>
      <c r="O198" s="7"/>
      <c r="P198" s="21"/>
      <c r="Q198" s="43" t="str">
        <f t="shared" si="17"/>
        <v>En attente paiement</v>
      </c>
      <c r="R198" s="22">
        <v>46240</v>
      </c>
      <c r="S198" s="26">
        <f t="shared" si="20"/>
        <v>22</v>
      </c>
      <c r="T198" s="29" t="str" cm="1">
        <f t="array" aca="1" ref="T198" ca="1">IFERROR(ROUND(CENTILE.SI.ENS($Q$2:$Q$2202,0.5,$E$2:$E$2202,E198,$Q$2:$Q$2202,"&gt;0"),0),"N/D")</f>
        <v>N/D</v>
      </c>
      <c r="U198" s="74">
        <f t="shared" si="21"/>
        <v>46282</v>
      </c>
    </row>
    <row r="199" spans="1:21" s="75" customFormat="1" ht="11.25" x14ac:dyDescent="0.2">
      <c r="A199" s="5" t="s">
        <v>294</v>
      </c>
      <c r="B199" s="5">
        <v>46255</v>
      </c>
      <c r="C199" s="5">
        <v>46237</v>
      </c>
      <c r="D199" s="6">
        <v>202607059</v>
      </c>
      <c r="E199" s="7" t="s">
        <v>28</v>
      </c>
      <c r="F199" s="7" t="s">
        <v>289</v>
      </c>
      <c r="G199" s="8" t="s">
        <v>22</v>
      </c>
      <c r="H199" s="9">
        <v>30</v>
      </c>
      <c r="I199" s="7" t="s">
        <v>549</v>
      </c>
      <c r="J199" s="13">
        <v>46227</v>
      </c>
      <c r="K199" s="14">
        <v>37711.440000000002</v>
      </c>
      <c r="L199" s="15" t="s">
        <v>20</v>
      </c>
      <c r="M199" s="18"/>
      <c r="N199" s="14"/>
      <c r="O199" s="7"/>
      <c r="P199" s="21"/>
      <c r="Q199" s="43" t="str">
        <f t="shared" si="17"/>
        <v>En attente paiement</v>
      </c>
      <c r="R199" s="22"/>
      <c r="S199" s="26">
        <f t="shared" si="20"/>
        <v>35</v>
      </c>
      <c r="T199" s="29" t="str" cm="1">
        <f t="array" aca="1" ref="T199" ca="1">IFERROR(ROUND(CENTILE.SI.ENS($Q$2:$Q$2202,0.5,$E$2:$E$2202,E199,$Q$2:$Q$2202,"&gt;0"),0),"N/D")</f>
        <v>N/D</v>
      </c>
      <c r="U199" s="74">
        <f t="shared" si="21"/>
        <v>46297</v>
      </c>
    </row>
    <row r="200" spans="1:21" s="75" customFormat="1" ht="11.25" x14ac:dyDescent="0.2">
      <c r="A200" s="5" t="s">
        <v>55</v>
      </c>
      <c r="B200" s="5">
        <v>46255</v>
      </c>
      <c r="C200" s="5"/>
      <c r="D200" s="6">
        <v>202608001</v>
      </c>
      <c r="E200" s="7" t="s">
        <v>23</v>
      </c>
      <c r="F200" s="7" t="s">
        <v>29</v>
      </c>
      <c r="G200" s="8" t="s">
        <v>19</v>
      </c>
      <c r="H200" s="9">
        <v>21</v>
      </c>
      <c r="I200" s="7" t="s">
        <v>25</v>
      </c>
      <c r="J200" s="13">
        <v>46235</v>
      </c>
      <c r="K200" s="14">
        <v>200</v>
      </c>
      <c r="L200" s="15" t="s">
        <v>20</v>
      </c>
      <c r="M200" s="18"/>
      <c r="N200" s="14"/>
      <c r="O200" s="7"/>
      <c r="P200" s="21"/>
      <c r="Q200" s="43" t="str">
        <f t="shared" si="17"/>
        <v>En attente paiement</v>
      </c>
      <c r="R200" s="22"/>
      <c r="S200" s="26">
        <f t="shared" si="20"/>
        <v>11</v>
      </c>
      <c r="T200" s="29" t="str" cm="1">
        <f t="array" aca="1" ref="T200" ca="1">IFERROR(ROUND(CENTILE.SI.ENS($Q$2:$Q$2202,0.5,$E$2:$E$2202,E200,$Q$2:$Q$2202,"&gt;0"),0),"N/D")</f>
        <v>N/D</v>
      </c>
      <c r="U200" s="74">
        <f t="shared" si="21"/>
        <v>46268</v>
      </c>
    </row>
    <row r="201" spans="1:21" s="75" customFormat="1" ht="11.25" x14ac:dyDescent="0.2">
      <c r="A201" s="5" t="s">
        <v>55</v>
      </c>
      <c r="B201" s="5">
        <v>46255</v>
      </c>
      <c r="C201" s="5"/>
      <c r="D201" s="6">
        <v>202608003</v>
      </c>
      <c r="E201" s="7" t="s">
        <v>23</v>
      </c>
      <c r="F201" s="7" t="s">
        <v>49</v>
      </c>
      <c r="G201" s="8" t="s">
        <v>19</v>
      </c>
      <c r="H201" s="9">
        <v>21</v>
      </c>
      <c r="I201" s="7" t="s">
        <v>25</v>
      </c>
      <c r="J201" s="13">
        <v>46237</v>
      </c>
      <c r="K201" s="14">
        <v>220</v>
      </c>
      <c r="L201" s="15" t="s">
        <v>20</v>
      </c>
      <c r="M201" s="18"/>
      <c r="N201" s="14"/>
      <c r="O201" s="7"/>
      <c r="P201" s="21"/>
      <c r="Q201" s="43" t="str">
        <f t="shared" si="17"/>
        <v>En attente paiement</v>
      </c>
      <c r="R201" s="22"/>
      <c r="S201" s="26">
        <f t="shared" si="20"/>
        <v>11</v>
      </c>
      <c r="T201" s="29" t="str" cm="1">
        <f t="array" aca="1" ref="T201" ca="1">IFERROR(ROUND(CENTILE.SI.ENS($Q$2:$Q$2202,0.5,$E$2:$E$2202,E201,$Q$2:$Q$2202,"&gt;0"),0),"N/D")</f>
        <v>N/D</v>
      </c>
      <c r="U201" s="74">
        <f t="shared" si="21"/>
        <v>46268</v>
      </c>
    </row>
    <row r="202" spans="1:21" s="75" customFormat="1" ht="11.25" x14ac:dyDescent="0.2">
      <c r="A202" s="5" t="s">
        <v>55</v>
      </c>
      <c r="B202" s="5">
        <v>46255</v>
      </c>
      <c r="C202" s="5"/>
      <c r="D202" s="6">
        <v>202608002</v>
      </c>
      <c r="E202" s="7" t="s">
        <v>26</v>
      </c>
      <c r="F202" s="7" t="s">
        <v>29</v>
      </c>
      <c r="G202" s="8" t="s">
        <v>19</v>
      </c>
      <c r="H202" s="9">
        <v>21</v>
      </c>
      <c r="I202" s="7" t="s">
        <v>25</v>
      </c>
      <c r="J202" s="13">
        <v>46235</v>
      </c>
      <c r="K202" s="14">
        <v>240</v>
      </c>
      <c r="L202" s="15" t="s">
        <v>20</v>
      </c>
      <c r="M202" s="18"/>
      <c r="N202" s="14"/>
      <c r="O202" s="7"/>
      <c r="P202" s="21"/>
      <c r="Q202" s="43" t="str">
        <f t="shared" si="17"/>
        <v>En attente paiement</v>
      </c>
      <c r="R202" s="22"/>
      <c r="S202" s="26">
        <f t="shared" si="20"/>
        <v>13</v>
      </c>
      <c r="T202" s="29" t="str" cm="1">
        <f t="array" aca="1" ref="T202" ca="1">IFERROR(ROUND(CENTILE.SI.ENS($Q$2:$Q$2202,0.5,$E$2:$E$2202,E202,$Q$2:$Q$2202,"&gt;0"),0),"N/D")</f>
        <v>N/D</v>
      </c>
      <c r="U202" s="74">
        <f t="shared" si="21"/>
        <v>46271</v>
      </c>
    </row>
    <row r="203" spans="1:21" s="75" customFormat="1" ht="11.25" x14ac:dyDescent="0.2">
      <c r="A203" s="5" t="s">
        <v>55</v>
      </c>
      <c r="B203" s="5">
        <v>46255</v>
      </c>
      <c r="C203" s="5"/>
      <c r="D203" s="6">
        <v>202608004</v>
      </c>
      <c r="E203" s="7" t="s">
        <v>26</v>
      </c>
      <c r="F203" s="7" t="s">
        <v>49</v>
      </c>
      <c r="G203" s="8" t="s">
        <v>19</v>
      </c>
      <c r="H203" s="9">
        <v>21</v>
      </c>
      <c r="I203" s="7" t="s">
        <v>25</v>
      </c>
      <c r="J203" s="13">
        <v>46237</v>
      </c>
      <c r="K203" s="14">
        <v>220</v>
      </c>
      <c r="L203" s="15" t="s">
        <v>20</v>
      </c>
      <c r="M203" s="18"/>
      <c r="N203" s="14"/>
      <c r="O203" s="7"/>
      <c r="P203" s="21"/>
      <c r="Q203" s="43" t="str">
        <f t="shared" si="17"/>
        <v>En attente paiement</v>
      </c>
      <c r="R203" s="22"/>
      <c r="S203" s="26">
        <f t="shared" si="20"/>
        <v>13</v>
      </c>
      <c r="T203" s="29" t="str" cm="1">
        <f t="array" aca="1" ref="T203" ca="1">IFERROR(ROUND(CENTILE.SI.ENS($Q$2:$Q$2202,0.5,$E$2:$E$2202,E203,$Q$2:$Q$2202,"&gt;0"),0),"N/D")</f>
        <v>N/D</v>
      </c>
      <c r="U203" s="74">
        <f t="shared" si="21"/>
        <v>46271</v>
      </c>
    </row>
    <row r="204" spans="1:21" s="75" customFormat="1" ht="11.25" hidden="1" x14ac:dyDescent="0.2">
      <c r="A204" s="5" t="s">
        <v>58</v>
      </c>
      <c r="B204" s="5">
        <v>46094</v>
      </c>
      <c r="C204" s="5"/>
      <c r="D204" s="6">
        <v>202601065</v>
      </c>
      <c r="E204" s="7" t="s">
        <v>69</v>
      </c>
      <c r="F204" s="7" t="s">
        <v>74</v>
      </c>
      <c r="G204" s="8" t="s">
        <v>22</v>
      </c>
      <c r="H204" s="9">
        <v>45</v>
      </c>
      <c r="I204" s="10" t="s">
        <v>52</v>
      </c>
      <c r="J204" s="13">
        <v>46051</v>
      </c>
      <c r="K204" s="14">
        <v>44622</v>
      </c>
      <c r="L204" s="15" t="s">
        <v>20</v>
      </c>
      <c r="M204" s="15"/>
      <c r="N204" s="44">
        <f>13600+10000+10000</f>
        <v>33600</v>
      </c>
      <c r="O204" s="7" t="s">
        <v>429</v>
      </c>
      <c r="P204" s="21">
        <v>46212</v>
      </c>
      <c r="Q204" s="43">
        <f t="shared" si="17"/>
        <v>118</v>
      </c>
      <c r="R204" s="22">
        <v>46072</v>
      </c>
      <c r="S204" s="26">
        <f t="shared" si="20"/>
        <v>63</v>
      </c>
      <c r="T204" s="29" t="str" cm="1">
        <f t="array" aca="1" ref="T204" ca="1">IFERROR(ROUND(CENTILE.SI.ENS($Q$2:$Q$2202,0.5,$E$2:$E$2202,E204,$Q$2:$Q$2202,"&gt;0"),0),"N/D")</f>
        <v>N/D</v>
      </c>
      <c r="U204" s="74">
        <f t="shared" si="21"/>
        <v>46170</v>
      </c>
    </row>
    <row r="205" spans="1:21" s="75" customFormat="1" ht="11.25" hidden="1" x14ac:dyDescent="0.2">
      <c r="A205" s="35" t="s">
        <v>58</v>
      </c>
      <c r="B205" s="35">
        <v>46073</v>
      </c>
      <c r="C205" s="35"/>
      <c r="D205" s="36">
        <v>202601005</v>
      </c>
      <c r="E205" s="37" t="s">
        <v>69</v>
      </c>
      <c r="F205" s="37" t="s">
        <v>74</v>
      </c>
      <c r="G205" s="38" t="s">
        <v>22</v>
      </c>
      <c r="H205" s="39">
        <v>45</v>
      </c>
      <c r="I205" s="40" t="s">
        <v>52</v>
      </c>
      <c r="J205" s="38">
        <v>46029</v>
      </c>
      <c r="K205" s="44">
        <v>45068</v>
      </c>
      <c r="L205" s="42" t="s">
        <v>20</v>
      </c>
      <c r="M205" s="18"/>
      <c r="N205" s="44">
        <f>21500+23568</f>
        <v>45068</v>
      </c>
      <c r="O205" s="7" t="s">
        <v>313</v>
      </c>
      <c r="P205" s="21">
        <v>46107</v>
      </c>
      <c r="Q205" s="43">
        <f t="shared" si="17"/>
        <v>34</v>
      </c>
      <c r="R205" s="21">
        <v>46035</v>
      </c>
      <c r="S205" s="26">
        <f t="shared" si="20"/>
        <v>63</v>
      </c>
      <c r="T205" s="29" t="str" cm="1">
        <f t="array" aca="1" ref="T205" ca="1">IFERROR(ROUND(CENTILE.SI.ENS($Q$2:$Q$2202,0.5,$E$2:$E$2202,E205,$Q$2:$Q$2202,"&gt;0"),0),"N/D")</f>
        <v>N/D</v>
      </c>
      <c r="U205" s="74">
        <f t="shared" si="21"/>
        <v>46149</v>
      </c>
    </row>
    <row r="206" spans="1:21" s="75" customFormat="1" hidden="1" x14ac:dyDescent="0.2">
      <c r="A206" s="5" t="s">
        <v>58</v>
      </c>
      <c r="B206" s="5">
        <v>46203</v>
      </c>
      <c r="C206" s="5">
        <v>46211</v>
      </c>
      <c r="D206" s="6">
        <v>202606049</v>
      </c>
      <c r="E206" s="7" t="s">
        <v>69</v>
      </c>
      <c r="F206" s="7" t="s">
        <v>74</v>
      </c>
      <c r="G206" s="8" t="s">
        <v>22</v>
      </c>
      <c r="H206" s="9">
        <v>45</v>
      </c>
      <c r="I206" s="10" t="s">
        <v>52</v>
      </c>
      <c r="J206" s="13">
        <v>46051</v>
      </c>
      <c r="K206" s="14">
        <v>2208.4</v>
      </c>
      <c r="L206" s="15" t="s">
        <v>20</v>
      </c>
      <c r="M206" s="15"/>
      <c r="N206" s="44"/>
      <c r="O206" s="17" t="s">
        <v>455</v>
      </c>
      <c r="P206" s="21">
        <v>46240</v>
      </c>
      <c r="Q206" s="43">
        <f t="shared" si="17"/>
        <v>37</v>
      </c>
      <c r="R206" s="22"/>
      <c r="S206" s="26">
        <f t="shared" si="20"/>
        <v>63</v>
      </c>
      <c r="T206" s="29" t="str" cm="1">
        <f t="array" aca="1" ref="T206" ca="1">IFERROR(ROUND(CENTILE.SI.ENS($Q$2:$Q$2202,0.5,$E$2:$E$2202,E206,$Q$2:$Q$2202,"&gt;0"),0),"N/D")</f>
        <v>N/D</v>
      </c>
      <c r="U206" s="74">
        <f t="shared" si="21"/>
        <v>46279</v>
      </c>
    </row>
    <row r="207" spans="1:21" s="75" customFormat="1" ht="11.25" x14ac:dyDescent="0.2">
      <c r="A207" s="5" t="s">
        <v>294</v>
      </c>
      <c r="B207" s="5">
        <v>46258</v>
      </c>
      <c r="C207" s="5">
        <v>46237</v>
      </c>
      <c r="D207" s="6">
        <v>202607060</v>
      </c>
      <c r="E207" s="7" t="s">
        <v>28</v>
      </c>
      <c r="F207" s="7" t="s">
        <v>287</v>
      </c>
      <c r="G207" s="8" t="s">
        <v>22</v>
      </c>
      <c r="H207" s="9">
        <v>30</v>
      </c>
      <c r="I207" s="7" t="s">
        <v>549</v>
      </c>
      <c r="J207" s="13">
        <v>46229</v>
      </c>
      <c r="K207" s="14">
        <v>43983.41</v>
      </c>
      <c r="L207" s="15" t="s">
        <v>20</v>
      </c>
      <c r="M207" s="18"/>
      <c r="N207" s="14"/>
      <c r="O207" s="7"/>
      <c r="P207" s="21"/>
      <c r="Q207" s="43" t="str">
        <f t="shared" si="17"/>
        <v>En attente paiement</v>
      </c>
      <c r="R207" s="22"/>
      <c r="S207" s="26">
        <f t="shared" si="20"/>
        <v>35</v>
      </c>
      <c r="T207" s="29" t="str" cm="1">
        <f t="array" aca="1" ref="T207" ca="1">IFERROR(ROUND(CENTILE.SI.ENS($Q$2:$Q$2202,0.5,$E$2:$E$2202,E207,$Q$2:$Q$2202,"&gt;0"),0),"N/D")</f>
        <v>N/D</v>
      </c>
      <c r="U207" s="74">
        <f t="shared" si="21"/>
        <v>46300</v>
      </c>
    </row>
    <row r="208" spans="1:21" s="75" customFormat="1" ht="11.25" hidden="1" x14ac:dyDescent="0.2">
      <c r="A208" s="35" t="s">
        <v>44</v>
      </c>
      <c r="B208" s="35">
        <v>46080</v>
      </c>
      <c r="C208" s="35"/>
      <c r="D208" s="36">
        <v>13</v>
      </c>
      <c r="E208" s="37" t="s">
        <v>164</v>
      </c>
      <c r="F208" s="37" t="s">
        <v>165</v>
      </c>
      <c r="G208" s="38" t="s">
        <v>22</v>
      </c>
      <c r="H208" s="39">
        <v>30</v>
      </c>
      <c r="I208" s="40" t="s">
        <v>166</v>
      </c>
      <c r="J208" s="38">
        <v>46052</v>
      </c>
      <c r="K208" s="44">
        <v>61353.24</v>
      </c>
      <c r="L208" s="42" t="s">
        <v>20</v>
      </c>
      <c r="M208" s="18"/>
      <c r="N208" s="44">
        <v>61288.24</v>
      </c>
      <c r="O208" s="7"/>
      <c r="P208" s="21">
        <v>46079</v>
      </c>
      <c r="Q208" s="43">
        <f t="shared" si="17"/>
        <v>-1</v>
      </c>
      <c r="R208" s="21">
        <v>46083</v>
      </c>
      <c r="S208" s="26">
        <f t="shared" si="20"/>
        <v>-1</v>
      </c>
      <c r="T208" s="29" t="str" cm="1">
        <f t="array" aca="1" ref="T208" ca="1">IFERROR(ROUND(CENTILE.SI.ENS($Q$2:$Q$2202,0.5,$E$2:$E$2202,E208,$Q$2:$Q$2202,"&gt;0"),0),"N/D")</f>
        <v>N/D</v>
      </c>
      <c r="U208" s="74">
        <f t="shared" si="21"/>
        <v>46078</v>
      </c>
    </row>
    <row r="209" spans="1:21" s="75" customFormat="1" ht="11.25" hidden="1" x14ac:dyDescent="0.2">
      <c r="A209" s="5" t="s">
        <v>58</v>
      </c>
      <c r="B209" s="5">
        <v>46115</v>
      </c>
      <c r="C209" s="5"/>
      <c r="D209" s="6">
        <v>202602036</v>
      </c>
      <c r="E209" s="7" t="s">
        <v>231</v>
      </c>
      <c r="F209" s="7" t="s">
        <v>232</v>
      </c>
      <c r="G209" s="8" t="s">
        <v>22</v>
      </c>
      <c r="H209" s="9">
        <v>45</v>
      </c>
      <c r="I209" s="10" t="s">
        <v>233</v>
      </c>
      <c r="J209" s="13">
        <v>46072</v>
      </c>
      <c r="K209" s="14">
        <v>44997.62</v>
      </c>
      <c r="L209" s="15" t="s">
        <v>20</v>
      </c>
      <c r="M209" s="18"/>
      <c r="N209" s="44"/>
      <c r="O209" s="7"/>
      <c r="P209" s="21">
        <v>46126</v>
      </c>
      <c r="Q209" s="43">
        <f t="shared" si="17"/>
        <v>11</v>
      </c>
      <c r="R209" s="22">
        <v>46101</v>
      </c>
      <c r="S209" s="26">
        <f t="shared" si="20"/>
        <v>11</v>
      </c>
      <c r="T209" s="29" t="str" cm="1">
        <f t="array" aca="1" ref="T209" ca="1">IFERROR(ROUND(CENTILE.SI.ENS($Q$2:$Q$2202,0.5,$E$2:$E$2202,E209,$Q$2:$Q$2202,"&gt;0"),0),"N/D")</f>
        <v>N/D</v>
      </c>
      <c r="U209" s="74">
        <f t="shared" si="21"/>
        <v>46129</v>
      </c>
    </row>
    <row r="210" spans="1:21" s="75" customFormat="1" ht="11.25" x14ac:dyDescent="0.2">
      <c r="A210" s="5" t="s">
        <v>55</v>
      </c>
      <c r="B210" s="5">
        <v>46261</v>
      </c>
      <c r="C210" s="5"/>
      <c r="D210" s="6">
        <v>202608005</v>
      </c>
      <c r="E210" s="7" t="s">
        <v>23</v>
      </c>
      <c r="F210" s="7" t="s">
        <v>24</v>
      </c>
      <c r="G210" s="8" t="s">
        <v>19</v>
      </c>
      <c r="H210" s="9">
        <v>21</v>
      </c>
      <c r="I210" s="7" t="s">
        <v>25</v>
      </c>
      <c r="J210" s="13">
        <v>46241</v>
      </c>
      <c r="K210" s="14">
        <v>250</v>
      </c>
      <c r="L210" s="15" t="s">
        <v>20</v>
      </c>
      <c r="M210" s="18"/>
      <c r="N210" s="14"/>
      <c r="O210" s="7"/>
      <c r="P210" s="21"/>
      <c r="Q210" s="43" t="str">
        <f t="shared" si="17"/>
        <v>En attente paiement</v>
      </c>
      <c r="R210" s="22"/>
      <c r="S210" s="26">
        <f t="shared" si="20"/>
        <v>11</v>
      </c>
      <c r="T210" s="29" t="str" cm="1">
        <f t="array" aca="1" ref="T210" ca="1">IFERROR(ROUND(CENTILE.SI.ENS($Q$2:$Q$2202,0.5,$E$2:$E$2202,E210,$Q$2:$Q$2202,"&gt;0"),0),"N/D")</f>
        <v>N/D</v>
      </c>
      <c r="U210" s="74">
        <f t="shared" si="21"/>
        <v>46274</v>
      </c>
    </row>
    <row r="211" spans="1:21" s="75" customFormat="1" ht="11.25" x14ac:dyDescent="0.2">
      <c r="A211" s="5" t="s">
        <v>55</v>
      </c>
      <c r="B211" s="5">
        <v>46261</v>
      </c>
      <c r="C211" s="5"/>
      <c r="D211" s="6">
        <v>202608006</v>
      </c>
      <c r="E211" s="7" t="s">
        <v>26</v>
      </c>
      <c r="F211" s="7" t="s">
        <v>24</v>
      </c>
      <c r="G211" s="8" t="s">
        <v>19</v>
      </c>
      <c r="H211" s="9">
        <v>21</v>
      </c>
      <c r="I211" s="7" t="s">
        <v>25</v>
      </c>
      <c r="J211" s="13">
        <v>46241</v>
      </c>
      <c r="K211" s="14">
        <v>250</v>
      </c>
      <c r="L211" s="15" t="s">
        <v>20</v>
      </c>
      <c r="M211" s="18"/>
      <c r="N211" s="14"/>
      <c r="O211" s="7"/>
      <c r="P211" s="21"/>
      <c r="Q211" s="43" t="str">
        <f t="shared" si="17"/>
        <v>En attente paiement</v>
      </c>
      <c r="R211" s="22"/>
      <c r="S211" s="26">
        <f t="shared" si="20"/>
        <v>13</v>
      </c>
      <c r="T211" s="29" t="str" cm="1">
        <f t="array" aca="1" ref="T211" ca="1">IFERROR(ROUND(CENTILE.SI.ENS($Q$2:$Q$2202,0.5,$E$2:$E$2202,E211,$Q$2:$Q$2202,"&gt;0"),0),"N/D")</f>
        <v>N/D</v>
      </c>
      <c r="U211" s="74">
        <f t="shared" si="21"/>
        <v>46277</v>
      </c>
    </row>
    <row r="212" spans="1:21" s="75" customFormat="1" ht="11.25" x14ac:dyDescent="0.2">
      <c r="A212" s="5" t="s">
        <v>55</v>
      </c>
      <c r="B212" s="5">
        <v>46262</v>
      </c>
      <c r="C212" s="5"/>
      <c r="D212" s="6">
        <v>202607037</v>
      </c>
      <c r="E212" s="7" t="s">
        <v>491</v>
      </c>
      <c r="F212" s="7" t="s">
        <v>528</v>
      </c>
      <c r="G212" s="8" t="s">
        <v>22</v>
      </c>
      <c r="H212" s="9">
        <v>45</v>
      </c>
      <c r="I212" s="7" t="s">
        <v>90</v>
      </c>
      <c r="J212" s="13">
        <v>46218</v>
      </c>
      <c r="K212" s="14">
        <v>58987.45</v>
      </c>
      <c r="L212" s="15" t="s">
        <v>34</v>
      </c>
      <c r="M212" s="18"/>
      <c r="N212" s="14"/>
      <c r="O212" s="7"/>
      <c r="P212" s="21"/>
      <c r="Q212" s="43" t="str">
        <f t="shared" si="17"/>
        <v>En attente paiement</v>
      </c>
      <c r="R212" s="22">
        <v>46254</v>
      </c>
      <c r="S212" s="26">
        <f t="shared" si="20"/>
        <v>14</v>
      </c>
      <c r="T212" s="29" t="str" cm="1">
        <f t="array" aca="1" ref="T212" ca="1">IFERROR(ROUND(CENTILE.SI.ENS($Q$2:$Q$2202,0.5,$E$2:$E$2202,E212,$Q$2:$Q$2202,"&gt;0"),0),"N/D")</f>
        <v>N/D</v>
      </c>
      <c r="U212" s="74">
        <f t="shared" si="21"/>
        <v>46279</v>
      </c>
    </row>
    <row r="213" spans="1:21" s="75" customFormat="1" ht="11.25" hidden="1" x14ac:dyDescent="0.2">
      <c r="A213" s="5" t="s">
        <v>44</v>
      </c>
      <c r="B213" s="5">
        <v>46064</v>
      </c>
      <c r="C213" s="5"/>
      <c r="D213" s="6">
        <v>202601030</v>
      </c>
      <c r="E213" s="7" t="s">
        <v>123</v>
      </c>
      <c r="F213" s="7" t="s">
        <v>124</v>
      </c>
      <c r="G213" s="13" t="s">
        <v>19</v>
      </c>
      <c r="H213" s="9">
        <v>30</v>
      </c>
      <c r="I213" s="10" t="s">
        <v>48</v>
      </c>
      <c r="J213" s="13">
        <v>46035</v>
      </c>
      <c r="K213" s="14">
        <v>127014.69</v>
      </c>
      <c r="L213" s="15" t="s">
        <v>20</v>
      </c>
      <c r="M213" s="15"/>
      <c r="N213" s="44">
        <f>72221+40000</f>
        <v>112221</v>
      </c>
      <c r="O213" s="7" t="s">
        <v>503</v>
      </c>
      <c r="P213" s="32">
        <v>46212</v>
      </c>
      <c r="Q213" s="43">
        <f t="shared" si="17"/>
        <v>148</v>
      </c>
      <c r="R213" s="22">
        <v>46064</v>
      </c>
      <c r="S213" s="26">
        <f t="shared" si="20"/>
        <v>148</v>
      </c>
      <c r="T213" s="29" t="str" cm="1">
        <f t="array" aca="1" ref="T213" ca="1">IFERROR(ROUND(CENTILE.SI.ENS($Q$2:$Q$2202,0.5,$E$2:$E$2202,E213,$Q$2:$Q$2202,"&gt;0"),0),"N/D")</f>
        <v>N/D</v>
      </c>
      <c r="U213" s="74">
        <f t="shared" si="21"/>
        <v>46242</v>
      </c>
    </row>
    <row r="214" spans="1:21" s="75" customFormat="1" ht="14.25" customHeight="1" x14ac:dyDescent="0.2">
      <c r="A214" s="5" t="s">
        <v>55</v>
      </c>
      <c r="B214" s="5">
        <v>46262</v>
      </c>
      <c r="C214" s="5"/>
      <c r="D214" s="6">
        <v>202607027</v>
      </c>
      <c r="E214" s="7" t="s">
        <v>36</v>
      </c>
      <c r="F214" s="7" t="s">
        <v>118</v>
      </c>
      <c r="G214" s="8" t="s">
        <v>22</v>
      </c>
      <c r="H214" s="9">
        <v>45</v>
      </c>
      <c r="I214" s="7" t="s">
        <v>398</v>
      </c>
      <c r="J214" s="13">
        <v>46219</v>
      </c>
      <c r="K214" s="24">
        <v>75218.509999999995</v>
      </c>
      <c r="L214" s="15" t="s">
        <v>34</v>
      </c>
      <c r="M214" s="18">
        <v>46289</v>
      </c>
      <c r="N214" s="14"/>
      <c r="O214" s="7"/>
      <c r="P214" s="21"/>
      <c r="Q214" s="43" t="str">
        <f t="shared" si="17"/>
        <v>En attente paiement</v>
      </c>
      <c r="R214" s="22">
        <v>46240</v>
      </c>
      <c r="S214" s="26">
        <f t="shared" si="20"/>
        <v>22</v>
      </c>
      <c r="T214" s="29" t="str" cm="1">
        <f t="array" aca="1" ref="T214" ca="1">IFERROR(ROUND(CENTILE.SI.ENS($Q$2:$Q$2202,0.5,$E$2:$E$2202,E214,$Q$2:$Q$2202,"&gt;0"),0),"N/D")</f>
        <v>N/D</v>
      </c>
      <c r="U214" s="74">
        <f t="shared" si="21"/>
        <v>46289</v>
      </c>
    </row>
    <row r="215" spans="1:21" s="75" customFormat="1" ht="11.25" hidden="1" x14ac:dyDescent="0.2">
      <c r="A215" s="5" t="s">
        <v>55</v>
      </c>
      <c r="B215" s="5">
        <v>46125</v>
      </c>
      <c r="C215" s="5"/>
      <c r="D215" s="6">
        <v>25</v>
      </c>
      <c r="E215" s="7" t="s">
        <v>324</v>
      </c>
      <c r="F215" s="7" t="s">
        <v>325</v>
      </c>
      <c r="G215" s="8" t="s">
        <v>65</v>
      </c>
      <c r="H215" s="9">
        <v>21</v>
      </c>
      <c r="I215" s="10" t="s">
        <v>326</v>
      </c>
      <c r="J215" s="13">
        <v>46105</v>
      </c>
      <c r="K215" s="14">
        <v>115402.88</v>
      </c>
      <c r="L215" s="15" t="s">
        <v>20</v>
      </c>
      <c r="M215" s="18"/>
      <c r="N215" s="44"/>
      <c r="O215" s="7"/>
      <c r="P215" s="21">
        <v>46122</v>
      </c>
      <c r="Q215" s="43">
        <f t="shared" si="17"/>
        <v>-3</v>
      </c>
      <c r="R215" s="22">
        <v>46135</v>
      </c>
      <c r="S215" s="26">
        <f t="shared" si="20"/>
        <v>-3</v>
      </c>
      <c r="T215" s="29" t="str" cm="1">
        <f t="array" aca="1" ref="T215" ca="1">IFERROR(ROUND(CENTILE.SI.ENS($Q$2:$Q$2202,0.5,$E$2:$E$2202,E215,$Q$2:$Q$2202,"&gt;0"),0),"N/D")</f>
        <v>N/D</v>
      </c>
      <c r="U215" s="74">
        <f t="shared" si="21"/>
        <v>46121</v>
      </c>
    </row>
    <row r="216" spans="1:21" s="75" customFormat="1" ht="11.25" hidden="1" x14ac:dyDescent="0.2">
      <c r="A216" s="5" t="s">
        <v>268</v>
      </c>
      <c r="B216" s="5">
        <v>46167</v>
      </c>
      <c r="C216" s="5"/>
      <c r="D216" s="6">
        <v>202605025</v>
      </c>
      <c r="E216" s="7" t="s">
        <v>436</v>
      </c>
      <c r="F216" s="7" t="s">
        <v>435</v>
      </c>
      <c r="G216" s="8" t="s">
        <v>65</v>
      </c>
      <c r="H216" s="9">
        <v>7</v>
      </c>
      <c r="I216" s="7" t="s">
        <v>426</v>
      </c>
      <c r="J216" s="13">
        <v>46160</v>
      </c>
      <c r="K216" s="14">
        <v>634800</v>
      </c>
      <c r="L216" s="15" t="s">
        <v>20</v>
      </c>
      <c r="M216" s="18"/>
      <c r="N216" s="44"/>
      <c r="O216" s="7"/>
      <c r="P216" s="21">
        <v>46175</v>
      </c>
      <c r="Q216" s="43">
        <f t="shared" si="17"/>
        <v>8</v>
      </c>
      <c r="R216" s="22">
        <v>46181</v>
      </c>
      <c r="S216" s="26">
        <f t="shared" si="20"/>
        <v>8</v>
      </c>
      <c r="T216" s="29" t="str" cm="1">
        <f t="array" aca="1" ref="T216" ca="1">IFERROR(ROUND(CENTILE.SI.ENS($Q$2:$Q$2202,0.5,$E$2:$E$2202,E216,$Q$2:$Q$2202,"&gt;0"),0),"N/D")</f>
        <v>N/D</v>
      </c>
      <c r="U216" s="74">
        <f t="shared" si="21"/>
        <v>46177</v>
      </c>
    </row>
    <row r="217" spans="1:21" s="75" customFormat="1" ht="11.25" hidden="1" x14ac:dyDescent="0.2">
      <c r="A217" s="5" t="s">
        <v>268</v>
      </c>
      <c r="B217" s="5">
        <v>46126</v>
      </c>
      <c r="C217" s="5"/>
      <c r="D217" s="6">
        <v>202604005</v>
      </c>
      <c r="E217" s="7" t="s">
        <v>346</v>
      </c>
      <c r="F217" s="7" t="s">
        <v>347</v>
      </c>
      <c r="G217" s="8" t="s">
        <v>65</v>
      </c>
      <c r="H217" s="9">
        <v>7</v>
      </c>
      <c r="I217" s="10" t="s">
        <v>348</v>
      </c>
      <c r="J217" s="13">
        <v>46120</v>
      </c>
      <c r="K217" s="14">
        <v>104491.64</v>
      </c>
      <c r="L217" s="15" t="s">
        <v>20</v>
      </c>
      <c r="M217" s="18"/>
      <c r="N217" s="44"/>
      <c r="O217" s="7"/>
      <c r="P217" s="21">
        <v>46132</v>
      </c>
      <c r="Q217" s="43">
        <f t="shared" si="17"/>
        <v>6</v>
      </c>
      <c r="R217" s="22">
        <v>46135</v>
      </c>
      <c r="S217" s="26">
        <f t="shared" si="20"/>
        <v>6</v>
      </c>
      <c r="T217" s="29" t="str" cm="1">
        <f t="array" aca="1" ref="T217" ca="1">IFERROR(ROUND(CENTILE.SI.ENS($Q$2:$Q$2202,0.5,$E$2:$E$2202,E217,$Q$2:$Q$2202,"&gt;0"),0),"N/D")</f>
        <v>N/D</v>
      </c>
      <c r="U217" s="74">
        <f t="shared" si="21"/>
        <v>46134</v>
      </c>
    </row>
    <row r="218" spans="1:21" s="75" customFormat="1" ht="11.25" x14ac:dyDescent="0.2">
      <c r="A218" s="5" t="s">
        <v>55</v>
      </c>
      <c r="B218" s="5">
        <v>46262</v>
      </c>
      <c r="C218" s="5"/>
      <c r="D218" s="6">
        <v>202607054</v>
      </c>
      <c r="E218" s="7" t="s">
        <v>36</v>
      </c>
      <c r="F218" s="7" t="s">
        <v>140</v>
      </c>
      <c r="G218" s="8" t="s">
        <v>22</v>
      </c>
      <c r="H218" s="9">
        <v>45</v>
      </c>
      <c r="I218" s="7" t="s">
        <v>171</v>
      </c>
      <c r="J218" s="13">
        <v>46220</v>
      </c>
      <c r="K218" s="14">
        <v>47553.5</v>
      </c>
      <c r="L218" s="15" t="s">
        <v>34</v>
      </c>
      <c r="M218" s="18"/>
      <c r="N218" s="14"/>
      <c r="O218" s="7"/>
      <c r="P218" s="21"/>
      <c r="Q218" s="43" t="str">
        <f t="shared" si="17"/>
        <v>En attente paiement</v>
      </c>
      <c r="R218" s="22"/>
      <c r="S218" s="26">
        <f t="shared" si="20"/>
        <v>22</v>
      </c>
      <c r="T218" s="29" t="str" cm="1">
        <f t="array" aca="1" ref="T218" ca="1">IFERROR(ROUND(CENTILE.SI.ENS($Q$2:$Q$2202,0.5,$E$2:$E$2202,E218,$Q$2:$Q$2202,"&gt;0"),0),"N/D")</f>
        <v>N/D</v>
      </c>
      <c r="U218" s="74">
        <f t="shared" si="21"/>
        <v>46289</v>
      </c>
    </row>
    <row r="219" spans="1:21" s="75" customFormat="1" ht="11.25" hidden="1" x14ac:dyDescent="0.2">
      <c r="A219" s="35" t="s">
        <v>44</v>
      </c>
      <c r="B219" s="35">
        <v>46045</v>
      </c>
      <c r="C219" s="35"/>
      <c r="D219" s="36">
        <v>202601012</v>
      </c>
      <c r="E219" s="37" t="s">
        <v>95</v>
      </c>
      <c r="F219" s="37" t="s">
        <v>96</v>
      </c>
      <c r="G219" s="38" t="s">
        <v>22</v>
      </c>
      <c r="H219" s="39">
        <v>14</v>
      </c>
      <c r="I219" s="40" t="s">
        <v>97</v>
      </c>
      <c r="J219" s="38">
        <v>46033</v>
      </c>
      <c r="K219" s="44">
        <v>81080.160000000003</v>
      </c>
      <c r="L219" s="42" t="s">
        <v>20</v>
      </c>
      <c r="M219" s="18"/>
      <c r="N219" s="44">
        <v>81080.160000000003</v>
      </c>
      <c r="O219" s="7"/>
      <c r="P219" s="21">
        <v>46062</v>
      </c>
      <c r="Q219" s="43">
        <f t="shared" si="17"/>
        <v>17</v>
      </c>
      <c r="R219" s="21">
        <v>46037</v>
      </c>
      <c r="S219" s="26">
        <f t="shared" si="20"/>
        <v>17</v>
      </c>
      <c r="T219" s="29" t="str" cm="1">
        <f t="array" aca="1" ref="T219" ca="1">IFERROR(ROUND(CENTILE.SI.ENS($Q$2:$Q$2202,0.5,$E$2:$E$2202,E219,$Q$2:$Q$2202,"&gt;0"),0),"N/D")</f>
        <v>N/D</v>
      </c>
      <c r="U219" s="74">
        <f t="shared" si="21"/>
        <v>46066</v>
      </c>
    </row>
    <row r="220" spans="1:21" s="75" customFormat="1" ht="11.25" hidden="1" x14ac:dyDescent="0.2">
      <c r="A220" s="25" t="s">
        <v>58</v>
      </c>
      <c r="B220" s="25">
        <v>46059</v>
      </c>
      <c r="C220" s="25"/>
      <c r="D220" s="26">
        <v>202511014</v>
      </c>
      <c r="E220" s="27" t="s">
        <v>61</v>
      </c>
      <c r="F220" s="27" t="s">
        <v>107</v>
      </c>
      <c r="G220" s="28" t="s">
        <v>22</v>
      </c>
      <c r="H220" s="11">
        <v>90</v>
      </c>
      <c r="I220" s="27" t="s">
        <v>43</v>
      </c>
      <c r="J220" s="28">
        <v>45970</v>
      </c>
      <c r="K220" s="33">
        <v>238593.12</v>
      </c>
      <c r="L220" s="31" t="s">
        <v>20</v>
      </c>
      <c r="M220" s="18">
        <v>46063</v>
      </c>
      <c r="N220" s="44"/>
      <c r="O220" s="7" t="s">
        <v>391</v>
      </c>
      <c r="P220" s="32">
        <v>46141</v>
      </c>
      <c r="Q220" s="43">
        <f t="shared" si="17"/>
        <v>82</v>
      </c>
      <c r="R220" s="22">
        <v>45992</v>
      </c>
      <c r="S220" s="26">
        <f t="shared" si="20"/>
        <v>41</v>
      </c>
      <c r="T220" s="29" t="str" cm="1">
        <f t="array" aca="1" ref="T220" ca="1">IFERROR(ROUND(CENTILE.SI.ENS($Q$2:$Q$2202,0.5,$E$2:$E$2202,E220,$Q$2:$Q$2202,"&gt;0"),0),"N/D")</f>
        <v>N/D</v>
      </c>
      <c r="U220" s="74">
        <f t="shared" si="21"/>
        <v>46109</v>
      </c>
    </row>
    <row r="221" spans="1:21" s="75" customFormat="1" ht="11.25" hidden="1" x14ac:dyDescent="0.2">
      <c r="A221" s="25" t="s">
        <v>58</v>
      </c>
      <c r="B221" s="25">
        <v>46087</v>
      </c>
      <c r="C221" s="25"/>
      <c r="D221" s="26">
        <v>202512004</v>
      </c>
      <c r="E221" s="27" t="s">
        <v>61</v>
      </c>
      <c r="F221" s="27" t="s">
        <v>108</v>
      </c>
      <c r="G221" s="28" t="s">
        <v>22</v>
      </c>
      <c r="H221" s="11">
        <v>90</v>
      </c>
      <c r="I221" s="29" t="s">
        <v>109</v>
      </c>
      <c r="J221" s="28">
        <v>45999</v>
      </c>
      <c r="K221" s="33">
        <v>174647.25</v>
      </c>
      <c r="L221" s="31" t="s">
        <v>20</v>
      </c>
      <c r="M221" s="18">
        <v>46093</v>
      </c>
      <c r="N221" s="44"/>
      <c r="O221" s="7" t="s">
        <v>338</v>
      </c>
      <c r="P221" s="32">
        <v>46126</v>
      </c>
      <c r="Q221" s="43">
        <f t="shared" si="17"/>
        <v>39</v>
      </c>
      <c r="R221" s="22">
        <v>46014</v>
      </c>
      <c r="S221" s="26">
        <f t="shared" si="20"/>
        <v>41</v>
      </c>
      <c r="T221" s="29" t="str" cm="1">
        <f t="array" aca="1" ref="T221" ca="1">IFERROR(ROUND(CENTILE.SI.ENS($Q$2:$Q$2202,0.5,$E$2:$E$2202,E221,$Q$2:$Q$2202,"&gt;0"),0),"N/D")</f>
        <v>N/D</v>
      </c>
      <c r="U221" s="74">
        <f t="shared" si="21"/>
        <v>46137</v>
      </c>
    </row>
    <row r="222" spans="1:21" s="75" customFormat="1" hidden="1" x14ac:dyDescent="0.2">
      <c r="A222" s="5" t="s">
        <v>58</v>
      </c>
      <c r="B222" s="5">
        <v>46197</v>
      </c>
      <c r="C222" s="5"/>
      <c r="D222" s="6">
        <v>202606038</v>
      </c>
      <c r="E222" s="7" t="s">
        <v>61</v>
      </c>
      <c r="F222" s="7" t="s">
        <v>107</v>
      </c>
      <c r="G222" s="8" t="s">
        <v>22</v>
      </c>
      <c r="H222" s="9">
        <v>0</v>
      </c>
      <c r="I222" s="7" t="s">
        <v>43</v>
      </c>
      <c r="J222" s="13">
        <v>46197</v>
      </c>
      <c r="K222" s="14">
        <v>8000</v>
      </c>
      <c r="L222" s="15" t="s">
        <v>20</v>
      </c>
      <c r="M222" s="16"/>
      <c r="N222" s="44"/>
      <c r="O222" s="17" t="s">
        <v>455</v>
      </c>
      <c r="P222" s="21">
        <v>46199</v>
      </c>
      <c r="Q222" s="43">
        <f t="shared" ref="Q222:Q240" si="22">IF(P222="","En attente paiement",P222-B222)</f>
        <v>2</v>
      </c>
      <c r="R222" s="22" t="s">
        <v>424</v>
      </c>
      <c r="S222" s="26">
        <f t="shared" si="20"/>
        <v>41</v>
      </c>
      <c r="T222" s="29" t="str" cm="1">
        <f t="array" aca="1" ref="T222" ca="1">IFERROR(ROUND(CENTILE.SI.ENS($Q$2:$Q$2202,0.5,$E$2:$E$2202,E222,$Q$2:$Q$2202,"&gt;0"),0),"N/D")</f>
        <v>N/D</v>
      </c>
      <c r="U222" s="74">
        <f t="shared" si="21"/>
        <v>46247</v>
      </c>
    </row>
    <row r="223" spans="1:21" s="75" customFormat="1" ht="11.25" hidden="1" x14ac:dyDescent="0.2">
      <c r="A223" s="5" t="s">
        <v>55</v>
      </c>
      <c r="B223" s="5">
        <v>46107</v>
      </c>
      <c r="C223" s="5"/>
      <c r="D223" s="6">
        <v>202602031</v>
      </c>
      <c r="E223" s="7" t="s">
        <v>211</v>
      </c>
      <c r="F223" s="7" t="s">
        <v>223</v>
      </c>
      <c r="G223" s="13" t="s">
        <v>22</v>
      </c>
      <c r="H223" s="9">
        <v>45</v>
      </c>
      <c r="I223" s="10" t="s">
        <v>224</v>
      </c>
      <c r="J223" s="13">
        <v>46062</v>
      </c>
      <c r="K223" s="24">
        <v>216000</v>
      </c>
      <c r="L223" s="15" t="s">
        <v>20</v>
      </c>
      <c r="M223" s="18">
        <v>46125</v>
      </c>
      <c r="N223" s="44"/>
      <c r="O223" s="7"/>
      <c r="P223" s="21">
        <v>46184</v>
      </c>
      <c r="Q223" s="43">
        <f t="shared" si="22"/>
        <v>77</v>
      </c>
      <c r="R223" s="22">
        <v>46094</v>
      </c>
      <c r="S223" s="26">
        <f t="shared" si="20"/>
        <v>69</v>
      </c>
      <c r="T223" s="29" t="str" cm="1">
        <f t="array" aca="1" ref="T223" ca="1">IFERROR(ROUND(CENTILE.SI.ENS($Q$2:$Q$2202,0.5,$E$2:$E$2202,E223,$Q$2:$Q$2202,"&gt;0"),0),"N/D")</f>
        <v>N/D</v>
      </c>
      <c r="U223" s="74">
        <f t="shared" si="21"/>
        <v>46190</v>
      </c>
    </row>
    <row r="224" spans="1:21" s="75" customFormat="1" ht="11.25" hidden="1" x14ac:dyDescent="0.2">
      <c r="A224" s="5" t="s">
        <v>55</v>
      </c>
      <c r="B224" s="5">
        <v>46121</v>
      </c>
      <c r="C224" s="5"/>
      <c r="D224" s="6">
        <v>202602021</v>
      </c>
      <c r="E224" s="7" t="s">
        <v>211</v>
      </c>
      <c r="F224" s="7" t="s">
        <v>213</v>
      </c>
      <c r="G224" s="8" t="s">
        <v>22</v>
      </c>
      <c r="H224" s="9">
        <v>45</v>
      </c>
      <c r="I224" s="7" t="s">
        <v>212</v>
      </c>
      <c r="J224" s="13">
        <v>46062</v>
      </c>
      <c r="K224" s="24">
        <v>195776.25</v>
      </c>
      <c r="L224" s="15" t="s">
        <v>20</v>
      </c>
      <c r="M224" s="18">
        <v>46127</v>
      </c>
      <c r="N224" s="44"/>
      <c r="O224" s="7" t="s">
        <v>301</v>
      </c>
      <c r="P224" s="21">
        <v>46181</v>
      </c>
      <c r="Q224" s="43">
        <f t="shared" si="22"/>
        <v>60</v>
      </c>
      <c r="R224" s="22">
        <v>46092</v>
      </c>
      <c r="S224" s="26">
        <f t="shared" si="20"/>
        <v>69</v>
      </c>
      <c r="T224" s="29" t="str" cm="1">
        <f t="array" aca="1" ref="T224" ca="1">IFERROR(ROUND(CENTILE.SI.ENS($Q$2:$Q$2202,0.5,$E$2:$E$2202,E224,$Q$2:$Q$2202,"&gt;0"),0),"N/D")</f>
        <v>N/D</v>
      </c>
      <c r="U224" s="74">
        <f t="shared" si="21"/>
        <v>46204</v>
      </c>
    </row>
    <row r="225" spans="1:21" s="75" customFormat="1" ht="11.25" hidden="1" x14ac:dyDescent="0.2">
      <c r="A225" s="35" t="s">
        <v>44</v>
      </c>
      <c r="B225" s="35">
        <v>46093</v>
      </c>
      <c r="C225" s="35"/>
      <c r="D225" s="36">
        <v>202601013</v>
      </c>
      <c r="E225" s="37" t="s">
        <v>98</v>
      </c>
      <c r="F225" s="37" t="s">
        <v>51</v>
      </c>
      <c r="G225" s="38" t="s">
        <v>22</v>
      </c>
      <c r="H225" s="39">
        <v>60</v>
      </c>
      <c r="I225" s="40" t="s">
        <v>93</v>
      </c>
      <c r="J225" s="38">
        <v>46034</v>
      </c>
      <c r="K225" s="41">
        <v>142200</v>
      </c>
      <c r="L225" s="42" t="s">
        <v>20</v>
      </c>
      <c r="M225" s="18">
        <v>46104</v>
      </c>
      <c r="N225" s="44">
        <f>42200+50000+50000</f>
        <v>142200</v>
      </c>
      <c r="O225" s="7"/>
      <c r="P225" s="21">
        <v>46093</v>
      </c>
      <c r="Q225" s="43">
        <f t="shared" si="22"/>
        <v>0</v>
      </c>
      <c r="R225" s="21">
        <v>46056</v>
      </c>
      <c r="S225" s="26">
        <f t="shared" si="20"/>
        <v>2</v>
      </c>
      <c r="T225" s="29" t="str" cm="1">
        <f t="array" aca="1" ref="T225" ca="1">IFERROR(ROUND(CENTILE.SI.ENS($Q$2:$Q$2202,0.5,$E$2:$E$2202,E225,$Q$2:$Q$2202,"&gt;0"),0),"N/D")</f>
        <v>N/D</v>
      </c>
      <c r="U225" s="74">
        <f t="shared" si="21"/>
        <v>46095</v>
      </c>
    </row>
    <row r="226" spans="1:21" s="75" customFormat="1" ht="11.25" hidden="1" x14ac:dyDescent="0.2">
      <c r="A226" s="5" t="s">
        <v>44</v>
      </c>
      <c r="B226" s="5">
        <v>46108</v>
      </c>
      <c r="C226" s="5"/>
      <c r="D226" s="6">
        <v>202601054</v>
      </c>
      <c r="E226" s="7" t="s">
        <v>98</v>
      </c>
      <c r="F226" s="7" t="s">
        <v>160</v>
      </c>
      <c r="G226" s="8" t="s">
        <v>22</v>
      </c>
      <c r="H226" s="9">
        <v>60</v>
      </c>
      <c r="I226" s="10" t="s">
        <v>161</v>
      </c>
      <c r="J226" s="13">
        <v>46050</v>
      </c>
      <c r="K226" s="14">
        <v>62000</v>
      </c>
      <c r="L226" s="15" t="s">
        <v>20</v>
      </c>
      <c r="M226" s="18"/>
      <c r="N226" s="44"/>
      <c r="O226" s="7"/>
      <c r="P226" s="21">
        <v>46111</v>
      </c>
      <c r="Q226" s="43">
        <f t="shared" si="22"/>
        <v>3</v>
      </c>
      <c r="R226" s="22">
        <v>46064</v>
      </c>
      <c r="S226" s="26">
        <f t="shared" si="20"/>
        <v>2</v>
      </c>
      <c r="T226" s="29" t="str" cm="1">
        <f t="array" aca="1" ref="T226" ca="1">IFERROR(ROUND(CENTILE.SI.ENS($Q$2:$Q$2202,0.5,$E$2:$E$2202,E226,$Q$2:$Q$2202,"&gt;0"),0),"N/D")</f>
        <v>N/D</v>
      </c>
      <c r="U226" s="74">
        <f t="shared" si="21"/>
        <v>46110</v>
      </c>
    </row>
    <row r="227" spans="1:21" s="75" customFormat="1" hidden="1" x14ac:dyDescent="0.2">
      <c r="A227" s="5" t="s">
        <v>268</v>
      </c>
      <c r="B227" s="5">
        <v>46234</v>
      </c>
      <c r="C227" s="5"/>
      <c r="D227" s="6">
        <v>202607002</v>
      </c>
      <c r="E227" s="7" t="s">
        <v>493</v>
      </c>
      <c r="F227" s="7" t="s">
        <v>494</v>
      </c>
      <c r="G227" s="8" t="s">
        <v>19</v>
      </c>
      <c r="H227" s="9">
        <v>30</v>
      </c>
      <c r="I227" s="7" t="s">
        <v>88</v>
      </c>
      <c r="J227" s="13">
        <v>46205</v>
      </c>
      <c r="K227" s="24">
        <v>188095.73</v>
      </c>
      <c r="L227" s="15" t="s">
        <v>20</v>
      </c>
      <c r="M227" s="16">
        <v>46260</v>
      </c>
      <c r="N227" s="44"/>
      <c r="O227" s="17"/>
      <c r="P227" s="21">
        <v>46234</v>
      </c>
      <c r="Q227" s="43">
        <f t="shared" si="22"/>
        <v>0</v>
      </c>
      <c r="R227" s="22">
        <v>46206</v>
      </c>
      <c r="S227" s="26">
        <f t="shared" si="20"/>
        <v>0</v>
      </c>
      <c r="T227" s="29"/>
      <c r="U227" s="74">
        <f t="shared" si="21"/>
        <v>46234</v>
      </c>
    </row>
    <row r="228" spans="1:21" s="75" customFormat="1" hidden="1" x14ac:dyDescent="0.2">
      <c r="A228" s="5" t="s">
        <v>268</v>
      </c>
      <c r="B228" s="5">
        <v>46245</v>
      </c>
      <c r="C228" s="5"/>
      <c r="D228" s="6">
        <v>202607017</v>
      </c>
      <c r="E228" s="7" t="s">
        <v>504</v>
      </c>
      <c r="F228" s="7" t="s">
        <v>505</v>
      </c>
      <c r="G228" s="8" t="s">
        <v>19</v>
      </c>
      <c r="H228" s="9">
        <v>30</v>
      </c>
      <c r="I228" s="7" t="s">
        <v>88</v>
      </c>
      <c r="J228" s="13">
        <v>46215</v>
      </c>
      <c r="K228" s="14">
        <v>111107.25</v>
      </c>
      <c r="L228" s="15" t="s">
        <v>20</v>
      </c>
      <c r="M228" s="16"/>
      <c r="N228" s="44"/>
      <c r="O228" s="17"/>
      <c r="P228" s="21">
        <v>46246</v>
      </c>
      <c r="Q228" s="43">
        <f t="shared" si="22"/>
        <v>1</v>
      </c>
      <c r="R228" s="22">
        <v>46218</v>
      </c>
      <c r="S228" s="26">
        <f t="shared" si="20"/>
        <v>1</v>
      </c>
      <c r="T228" s="29" t="str" cm="1">
        <f t="array" aca="1" ref="T228" ca="1">IFERROR(ROUND(CENTILE.SI.ENS($Q$2:$Q$2202,0.5,$E$2:$E$2202,E228,$Q$2:$Q$2202,"&gt;0"),0),"N/D")</f>
        <v>N/D</v>
      </c>
      <c r="U228" s="74">
        <f t="shared" si="21"/>
        <v>46247</v>
      </c>
    </row>
    <row r="229" spans="1:21" s="75" customFormat="1" ht="11.25" hidden="1" x14ac:dyDescent="0.2">
      <c r="A229" s="5" t="s">
        <v>294</v>
      </c>
      <c r="B229" s="5">
        <v>46136</v>
      </c>
      <c r="C229" s="5"/>
      <c r="D229" s="6">
        <v>202603048</v>
      </c>
      <c r="E229" s="7" t="s">
        <v>240</v>
      </c>
      <c r="F229" s="7" t="s">
        <v>339</v>
      </c>
      <c r="G229" s="8" t="s">
        <v>22</v>
      </c>
      <c r="H229" s="9">
        <v>30</v>
      </c>
      <c r="I229" s="7" t="s">
        <v>340</v>
      </c>
      <c r="J229" s="13">
        <v>46108</v>
      </c>
      <c r="K229" s="24">
        <v>589458</v>
      </c>
      <c r="L229" s="15" t="s">
        <v>20</v>
      </c>
      <c r="M229" s="18">
        <v>46171</v>
      </c>
      <c r="N229" s="44"/>
      <c r="O229" s="7"/>
      <c r="P229" s="21">
        <v>46163</v>
      </c>
      <c r="Q229" s="43">
        <f t="shared" si="22"/>
        <v>27</v>
      </c>
      <c r="R229" s="22">
        <v>46147</v>
      </c>
      <c r="S229" s="26">
        <f t="shared" si="20"/>
        <v>18</v>
      </c>
      <c r="T229" s="29" t="str" cm="1">
        <f t="array" aca="1" ref="T229" ca="1">IFERROR(ROUND(CENTILE.SI.ENS($Q$2:$Q$2202,0.5,$E$2:$E$2202,E229,$Q$2:$Q$2202,"&gt;0"),0),"N/D")</f>
        <v>N/D</v>
      </c>
      <c r="U229" s="74">
        <f t="shared" si="21"/>
        <v>46158</v>
      </c>
    </row>
    <row r="230" spans="1:21" s="75" customFormat="1" ht="11.25" hidden="1" x14ac:dyDescent="0.2">
      <c r="A230" s="5" t="s">
        <v>18</v>
      </c>
      <c r="B230" s="5">
        <v>46099</v>
      </c>
      <c r="C230" s="5">
        <v>46078</v>
      </c>
      <c r="D230" s="6">
        <v>202602043</v>
      </c>
      <c r="E230" s="7" t="s">
        <v>240</v>
      </c>
      <c r="F230" s="7" t="s">
        <v>241</v>
      </c>
      <c r="G230" s="8" t="s">
        <v>22</v>
      </c>
      <c r="H230" s="9">
        <v>30</v>
      </c>
      <c r="I230" s="10" t="s">
        <v>242</v>
      </c>
      <c r="J230" s="13">
        <v>46070</v>
      </c>
      <c r="K230" s="24">
        <v>276856.71999999997</v>
      </c>
      <c r="L230" s="15" t="s">
        <v>20</v>
      </c>
      <c r="M230" s="18">
        <v>46149</v>
      </c>
      <c r="N230" s="44"/>
      <c r="O230" s="7"/>
      <c r="P230" s="21">
        <v>46122</v>
      </c>
      <c r="Q230" s="43">
        <f t="shared" si="22"/>
        <v>23</v>
      </c>
      <c r="R230" s="22">
        <v>46093</v>
      </c>
      <c r="S230" s="26">
        <f t="shared" si="20"/>
        <v>18</v>
      </c>
      <c r="T230" s="29" t="str" cm="1">
        <f t="array" aca="1" ref="T230" ca="1">IFERROR(ROUND(CENTILE.SI.ENS($Q$2:$Q$2202,0.5,$E$2:$E$2202,E230,$Q$2:$Q$2202,"&gt;0"),0),"N/D")</f>
        <v>N/D</v>
      </c>
      <c r="U230" s="74">
        <f t="shared" si="21"/>
        <v>46121</v>
      </c>
    </row>
    <row r="231" spans="1:21" s="75" customFormat="1" ht="11.25" hidden="1" x14ac:dyDescent="0.2">
      <c r="A231" s="5" t="s">
        <v>18</v>
      </c>
      <c r="B231" s="5">
        <v>46122</v>
      </c>
      <c r="C231" s="5"/>
      <c r="D231" s="6">
        <v>202603038</v>
      </c>
      <c r="E231" s="7" t="s">
        <v>240</v>
      </c>
      <c r="F231" s="7" t="s">
        <v>315</v>
      </c>
      <c r="G231" s="8" t="s">
        <v>22</v>
      </c>
      <c r="H231" s="9">
        <v>21</v>
      </c>
      <c r="I231" s="10" t="s">
        <v>316</v>
      </c>
      <c r="J231" s="13">
        <v>46104</v>
      </c>
      <c r="K231" s="14">
        <v>67787</v>
      </c>
      <c r="L231" s="15" t="s">
        <v>20</v>
      </c>
      <c r="M231" s="18"/>
      <c r="N231" s="44"/>
      <c r="O231" s="7"/>
      <c r="P231" s="21">
        <v>46126</v>
      </c>
      <c r="Q231" s="43">
        <f t="shared" si="22"/>
        <v>4</v>
      </c>
      <c r="R231" s="22">
        <v>46125</v>
      </c>
      <c r="S231" s="26">
        <f t="shared" si="20"/>
        <v>18</v>
      </c>
      <c r="T231" s="29" t="str" cm="1">
        <f t="array" aca="1" ref="T231" ca="1">IFERROR(ROUND(CENTILE.SI.ENS($Q$2:$Q$2202,0.5,$E$2:$E$2202,E231,$Q$2:$Q$2202,"&gt;0"),0),"N/D")</f>
        <v>N/D</v>
      </c>
      <c r="U231" s="74">
        <f t="shared" si="21"/>
        <v>46144</v>
      </c>
    </row>
    <row r="232" spans="1:21" s="75" customFormat="1" ht="11.25" hidden="1" customHeight="1" x14ac:dyDescent="0.2">
      <c r="A232" s="35" t="s">
        <v>44</v>
      </c>
      <c r="B232" s="35">
        <v>46087</v>
      </c>
      <c r="C232" s="35"/>
      <c r="D232" s="36">
        <v>202601057</v>
      </c>
      <c r="E232" s="37" t="s">
        <v>154</v>
      </c>
      <c r="F232" s="37" t="s">
        <v>155</v>
      </c>
      <c r="G232" s="38" t="s">
        <v>22</v>
      </c>
      <c r="H232" s="39">
        <v>45</v>
      </c>
      <c r="I232" s="40" t="s">
        <v>97</v>
      </c>
      <c r="J232" s="38">
        <v>46044</v>
      </c>
      <c r="K232" s="41">
        <v>310548.19</v>
      </c>
      <c r="L232" s="42" t="s">
        <v>20</v>
      </c>
      <c r="M232" s="18">
        <v>46094</v>
      </c>
      <c r="N232" s="44">
        <v>310548.19</v>
      </c>
      <c r="O232" s="7"/>
      <c r="P232" s="21">
        <v>46056</v>
      </c>
      <c r="Q232" s="43">
        <f t="shared" si="22"/>
        <v>-31</v>
      </c>
      <c r="R232" s="21">
        <v>46052</v>
      </c>
      <c r="S232" s="26">
        <f t="shared" si="20"/>
        <v>-31</v>
      </c>
      <c r="T232" s="29" t="str" cm="1">
        <f t="array" aca="1" ref="T232" ca="1">IFERROR(ROUND(CENTILE.SI.ENS($Q$2:$Q$2202,0.5,$E$2:$E$2202,E232,$Q$2:$Q$2202,"&gt;0"),0),"N/D")</f>
        <v>N/D</v>
      </c>
      <c r="U232" s="74">
        <f t="shared" si="21"/>
        <v>46049</v>
      </c>
    </row>
    <row r="233" spans="1:21" s="75" customFormat="1" ht="11.25" hidden="1" customHeight="1" x14ac:dyDescent="0.2">
      <c r="A233" s="5" t="s">
        <v>58</v>
      </c>
      <c r="B233" s="5">
        <v>46174</v>
      </c>
      <c r="C233" s="5"/>
      <c r="D233" s="6">
        <v>202605016</v>
      </c>
      <c r="E233" s="7" t="s">
        <v>419</v>
      </c>
      <c r="F233" s="7" t="s">
        <v>420</v>
      </c>
      <c r="G233" s="8" t="s">
        <v>19</v>
      </c>
      <c r="H233" s="9">
        <v>30</v>
      </c>
      <c r="I233" s="7" t="s">
        <v>48</v>
      </c>
      <c r="J233" s="13">
        <v>46145</v>
      </c>
      <c r="K233" s="14">
        <v>383578.86</v>
      </c>
      <c r="L233" s="15" t="s">
        <v>20</v>
      </c>
      <c r="M233" s="18"/>
      <c r="N233" s="44"/>
      <c r="O233" s="7"/>
      <c r="P233" s="21">
        <v>46188</v>
      </c>
      <c r="Q233" s="43">
        <f t="shared" si="22"/>
        <v>14</v>
      </c>
      <c r="R233" s="22">
        <v>46174</v>
      </c>
      <c r="S233" s="26">
        <f t="shared" si="20"/>
        <v>14</v>
      </c>
      <c r="T233" s="29" t="str" cm="1">
        <f t="array" aca="1" ref="T233" ca="1">IFERROR(ROUND(CENTILE.SI.ENS($Q$2:$Q$2202,0.5,$E$2:$E$2202,E233,$Q$2:$Q$2202,"&gt;0"),0),"N/D")</f>
        <v>N/D</v>
      </c>
      <c r="U233" s="74">
        <f t="shared" si="21"/>
        <v>46191</v>
      </c>
    </row>
    <row r="234" spans="1:21" s="75" customFormat="1" ht="11.25" hidden="1" customHeight="1" x14ac:dyDescent="0.2">
      <c r="A234" s="25" t="s">
        <v>44</v>
      </c>
      <c r="B234" s="25">
        <v>45972</v>
      </c>
      <c r="C234" s="25"/>
      <c r="D234" s="26">
        <v>202510049</v>
      </c>
      <c r="E234" s="27" t="s">
        <v>67</v>
      </c>
      <c r="F234" s="27" t="s">
        <v>68</v>
      </c>
      <c r="G234" s="28" t="s">
        <v>65</v>
      </c>
      <c r="H234" s="11">
        <v>15</v>
      </c>
      <c r="I234" s="29" t="s">
        <v>40</v>
      </c>
      <c r="J234" s="28">
        <v>45957</v>
      </c>
      <c r="K234" s="30">
        <v>41460</v>
      </c>
      <c r="L234" s="31" t="s">
        <v>20</v>
      </c>
      <c r="M234" s="18"/>
      <c r="N234" s="44"/>
      <c r="O234" s="7"/>
      <c r="P234" s="32">
        <v>46108</v>
      </c>
      <c r="Q234" s="43">
        <f t="shared" si="22"/>
        <v>136</v>
      </c>
      <c r="R234" s="22">
        <v>45979</v>
      </c>
      <c r="S234" s="26">
        <f t="shared" si="20"/>
        <v>-49</v>
      </c>
      <c r="T234" s="29" t="str" cm="1">
        <f t="array" aca="1" ref="T234" ca="1">IFERROR(ROUND(CENTILE.SI.ENS($Q$2:$Q$2202,0.5,$E$2:$E$2202,E234,$Q$2:$Q$2202,"&gt;0"),0),"N/D")</f>
        <v>N/D</v>
      </c>
      <c r="U234" s="74">
        <f t="shared" si="21"/>
        <v>45913</v>
      </c>
    </row>
    <row r="235" spans="1:21" s="75" customFormat="1" ht="11.25" hidden="1" customHeight="1" x14ac:dyDescent="0.2">
      <c r="A235" s="25" t="s">
        <v>44</v>
      </c>
      <c r="B235" s="25">
        <v>46003</v>
      </c>
      <c r="C235" s="25"/>
      <c r="D235" s="26">
        <v>202512015</v>
      </c>
      <c r="E235" s="27" t="s">
        <v>67</v>
      </c>
      <c r="F235" s="27" t="s">
        <v>68</v>
      </c>
      <c r="G235" s="28" t="s">
        <v>65</v>
      </c>
      <c r="H235" s="34" t="s">
        <v>78</v>
      </c>
      <c r="I235" s="27" t="s">
        <v>40</v>
      </c>
      <c r="J235" s="28">
        <v>45957</v>
      </c>
      <c r="K235" s="30">
        <v>829.2</v>
      </c>
      <c r="L235" s="31" t="s">
        <v>20</v>
      </c>
      <c r="M235" s="18"/>
      <c r="N235" s="44"/>
      <c r="O235" s="7" t="s">
        <v>375</v>
      </c>
      <c r="P235" s="32">
        <v>45769</v>
      </c>
      <c r="Q235" s="43">
        <f t="shared" si="22"/>
        <v>-234</v>
      </c>
      <c r="R235" s="22" t="s">
        <v>99</v>
      </c>
      <c r="S235" s="26">
        <f t="shared" si="20"/>
        <v>-49</v>
      </c>
      <c r="T235" s="29" t="str" cm="1">
        <f t="array" aca="1" ref="T235" ca="1">IFERROR(ROUND(CENTILE.SI.ENS($Q$2:$Q$2202,0.5,$E$2:$E$2202,E235,$Q$2:$Q$2202,"&gt;0"),0),"N/D")</f>
        <v>N/D</v>
      </c>
      <c r="U235" s="74">
        <f t="shared" si="21"/>
        <v>45944</v>
      </c>
    </row>
    <row r="236" spans="1:21" s="75" customFormat="1" ht="11.25" hidden="1" customHeight="1" x14ac:dyDescent="0.2">
      <c r="A236" s="5" t="s">
        <v>85</v>
      </c>
      <c r="B236" s="5">
        <v>46247</v>
      </c>
      <c r="C236" s="5"/>
      <c r="D236" s="6">
        <v>202607043</v>
      </c>
      <c r="E236" s="7" t="s">
        <v>530</v>
      </c>
      <c r="F236" s="7" t="s">
        <v>531</v>
      </c>
      <c r="G236" s="8" t="s">
        <v>65</v>
      </c>
      <c r="H236" s="9">
        <v>21</v>
      </c>
      <c r="I236" s="7" t="s">
        <v>88</v>
      </c>
      <c r="J236" s="13">
        <v>46227</v>
      </c>
      <c r="K236" s="14">
        <v>204335.03</v>
      </c>
      <c r="L236" s="15" t="s">
        <v>20</v>
      </c>
      <c r="M236" s="16"/>
      <c r="N236" s="44"/>
      <c r="O236" s="17"/>
      <c r="P236" s="21">
        <v>46247</v>
      </c>
      <c r="Q236" s="43">
        <f t="shared" si="22"/>
        <v>0</v>
      </c>
      <c r="R236" s="22"/>
      <c r="S236" s="26">
        <f t="shared" si="20"/>
        <v>0</v>
      </c>
      <c r="T236" s="29" t="str" cm="1">
        <f t="array" aca="1" ref="T236" ca="1">IFERROR(ROUND(CENTILE.SI.ENS($Q$2:$Q$2202,0.5,$E$2:$E$2202,E236,$Q$2:$Q$2202,"&gt;0"),0),"N/D")</f>
        <v>N/D</v>
      </c>
      <c r="U236" s="74">
        <f t="shared" si="21"/>
        <v>46247</v>
      </c>
    </row>
    <row r="237" spans="1:21" s="75" customFormat="1" ht="11.25" hidden="1" customHeight="1" x14ac:dyDescent="0.2">
      <c r="A237" s="5" t="s">
        <v>268</v>
      </c>
      <c r="B237" s="5">
        <v>46136</v>
      </c>
      <c r="C237" s="5"/>
      <c r="D237" s="6">
        <v>202604026</v>
      </c>
      <c r="E237" s="7" t="s">
        <v>369</v>
      </c>
      <c r="F237" s="7" t="s">
        <v>373</v>
      </c>
      <c r="G237" s="8" t="s">
        <v>65</v>
      </c>
      <c r="H237" s="9">
        <v>3</v>
      </c>
      <c r="I237" s="7" t="s">
        <v>101</v>
      </c>
      <c r="J237" s="13">
        <v>46134</v>
      </c>
      <c r="K237" s="14">
        <v>7500</v>
      </c>
      <c r="L237" s="15" t="s">
        <v>20</v>
      </c>
      <c r="M237" s="18"/>
      <c r="N237" s="44"/>
      <c r="O237" s="7"/>
      <c r="P237" s="21">
        <v>46140</v>
      </c>
      <c r="Q237" s="43">
        <f t="shared" si="22"/>
        <v>4</v>
      </c>
      <c r="R237" s="22"/>
      <c r="S237" s="26" t="str">
        <f t="shared" si="20"/>
        <v>N/D</v>
      </c>
      <c r="T237" s="29"/>
      <c r="U237" s="74" t="str">
        <f t="shared" si="21"/>
        <v>N/D</v>
      </c>
    </row>
    <row r="238" spans="1:21" s="75" customFormat="1" ht="11.25" hidden="1" x14ac:dyDescent="0.2">
      <c r="A238" s="5" t="s">
        <v>268</v>
      </c>
      <c r="B238" s="5">
        <v>46157</v>
      </c>
      <c r="C238" s="5"/>
      <c r="D238" s="6">
        <v>202604029</v>
      </c>
      <c r="E238" s="7" t="s">
        <v>369</v>
      </c>
      <c r="F238" s="7" t="s">
        <v>370</v>
      </c>
      <c r="G238" s="8" t="s">
        <v>65</v>
      </c>
      <c r="H238" s="9">
        <v>30</v>
      </c>
      <c r="I238" s="7" t="s">
        <v>101</v>
      </c>
      <c r="J238" s="13">
        <v>46129</v>
      </c>
      <c r="K238" s="14">
        <v>326309.7</v>
      </c>
      <c r="L238" s="15" t="s">
        <v>20</v>
      </c>
      <c r="M238" s="18"/>
      <c r="N238" s="44"/>
      <c r="O238" s="7"/>
      <c r="P238" s="21">
        <v>46157</v>
      </c>
      <c r="Q238" s="43">
        <f t="shared" si="22"/>
        <v>0</v>
      </c>
      <c r="R238" s="22">
        <v>46122</v>
      </c>
      <c r="S238" s="26" t="str">
        <f t="shared" si="20"/>
        <v>N/D</v>
      </c>
      <c r="T238" s="29" t="str" cm="1">
        <f t="array" aca="1" ref="T238" ca="1">IFERROR(ROUND(CENTILE.SI.ENS($Q$2:$Q$2202,0.5,$E$2:$E$2202,E238,$Q$2:$Q$2202,"&gt;0"),0),"N/D")</f>
        <v>N/D</v>
      </c>
      <c r="U238" s="74" t="str">
        <f t="shared" si="21"/>
        <v>N/D</v>
      </c>
    </row>
    <row r="239" spans="1:21" s="75" customFormat="1" ht="11.25" hidden="1" x14ac:dyDescent="0.2">
      <c r="A239" s="5" t="s">
        <v>268</v>
      </c>
      <c r="B239" s="5">
        <v>46157</v>
      </c>
      <c r="C239" s="5">
        <v>46160</v>
      </c>
      <c r="D239" s="6" t="s">
        <v>425</v>
      </c>
      <c r="E239" s="7" t="s">
        <v>369</v>
      </c>
      <c r="F239" s="7" t="s">
        <v>370</v>
      </c>
      <c r="G239" s="8" t="s">
        <v>65</v>
      </c>
      <c r="H239" s="9">
        <v>30</v>
      </c>
      <c r="I239" s="10" t="s">
        <v>101</v>
      </c>
      <c r="J239" s="13">
        <v>46129</v>
      </c>
      <c r="K239" s="14">
        <v>-10000</v>
      </c>
      <c r="L239" s="15" t="s">
        <v>20</v>
      </c>
      <c r="M239" s="18"/>
      <c r="N239" s="44"/>
      <c r="O239" s="79" t="s">
        <v>437</v>
      </c>
      <c r="P239" s="21" t="s">
        <v>424</v>
      </c>
      <c r="Q239" s="43" t="e">
        <f t="shared" si="22"/>
        <v>#VALUE!</v>
      </c>
      <c r="R239" s="21">
        <v>46178</v>
      </c>
      <c r="S239" s="26" t="str">
        <f t="shared" si="20"/>
        <v>N/D</v>
      </c>
      <c r="T239" s="29" t="str" cm="1">
        <f t="array" aca="1" ref="T239" ca="1">IFERROR(ROUND(CENTILE.SI.ENS($Q$2:$Q$2202,0.5,$E$2:$E$2202,E239,$Q$2:$Q$2202,"&gt;0"),0),"N/D")</f>
        <v>N/D</v>
      </c>
      <c r="U239" s="74" t="str">
        <f t="shared" si="21"/>
        <v>N/D</v>
      </c>
    </row>
    <row r="240" spans="1:21" s="75" customFormat="1" ht="11.25" hidden="1" x14ac:dyDescent="0.2">
      <c r="A240" s="35" t="s">
        <v>55</v>
      </c>
      <c r="B240" s="35">
        <v>46090</v>
      </c>
      <c r="C240" s="35"/>
      <c r="D240" s="36">
        <v>202602007</v>
      </c>
      <c r="E240" s="37" t="s">
        <v>191</v>
      </c>
      <c r="F240" s="37" t="s">
        <v>192</v>
      </c>
      <c r="G240" s="38" t="s">
        <v>131</v>
      </c>
      <c r="H240" s="39">
        <v>30</v>
      </c>
      <c r="I240" s="40" t="s">
        <v>193</v>
      </c>
      <c r="J240" s="38">
        <v>46061</v>
      </c>
      <c r="K240" s="44">
        <v>236161.8</v>
      </c>
      <c r="L240" s="42" t="s">
        <v>20</v>
      </c>
      <c r="M240" s="18"/>
      <c r="N240" s="44">
        <v>236161.8</v>
      </c>
      <c r="O240" s="7"/>
      <c r="P240" s="21">
        <v>46079</v>
      </c>
      <c r="Q240" s="43">
        <f t="shared" si="22"/>
        <v>-11</v>
      </c>
      <c r="R240" s="21">
        <v>46090</v>
      </c>
      <c r="S240" s="26">
        <f t="shared" si="20"/>
        <v>-11</v>
      </c>
      <c r="T240" s="29" t="str" cm="1">
        <f t="array" aca="1" ref="T240" ca="1">IFERROR(ROUND(CENTILE.SI.ENS($Q$2:$Q$2202,0.5,$E$2:$E$2202,E240,$Q$2:$Q$2202,"&gt;0"),0),"N/D")</f>
        <v>N/D</v>
      </c>
      <c r="U240" s="74">
        <f t="shared" si="21"/>
        <v>46076</v>
      </c>
    </row>
    <row r="241" spans="1:21" s="75" customFormat="1" hidden="1" x14ac:dyDescent="0.2">
      <c r="A241" s="5" t="s">
        <v>55</v>
      </c>
      <c r="B241" s="5">
        <v>46213</v>
      </c>
      <c r="C241" s="5"/>
      <c r="D241" s="6">
        <v>202606031</v>
      </c>
      <c r="E241" s="7" t="s">
        <v>191</v>
      </c>
      <c r="F241" s="7" t="s">
        <v>523</v>
      </c>
      <c r="G241" s="8" t="s">
        <v>19</v>
      </c>
      <c r="H241" s="9">
        <v>21</v>
      </c>
      <c r="I241" s="7" t="s">
        <v>172</v>
      </c>
      <c r="J241" s="13">
        <v>46185</v>
      </c>
      <c r="K241" s="24">
        <v>308033.06</v>
      </c>
      <c r="L241" s="15" t="s">
        <v>34</v>
      </c>
      <c r="M241" s="16">
        <v>46243</v>
      </c>
      <c r="N241" s="44"/>
      <c r="O241" s="17"/>
      <c r="P241" s="21">
        <v>46226</v>
      </c>
      <c r="Q241" s="43"/>
      <c r="R241" s="22">
        <v>46226</v>
      </c>
      <c r="S241" s="26">
        <f t="shared" si="20"/>
        <v>-11</v>
      </c>
      <c r="T241" s="29" t="str" cm="1">
        <f t="array" aca="1" ref="T241" ca="1">IFERROR(ROUND(CENTILE.SI.ENS($Q$2:$Q$2202,0.5,$E$2:$E$2202,E241,$Q$2:$Q$2202,"&gt;0"),0),"N/D")</f>
        <v>N/D</v>
      </c>
      <c r="U241" s="74">
        <f t="shared" si="21"/>
        <v>46199</v>
      </c>
    </row>
    <row r="242" spans="1:21" s="75" customFormat="1" ht="11.25" hidden="1" x14ac:dyDescent="0.2">
      <c r="A242" s="5" t="s">
        <v>100</v>
      </c>
      <c r="B242" s="5">
        <v>46094</v>
      </c>
      <c r="C242" s="5"/>
      <c r="D242" s="6">
        <v>202601035</v>
      </c>
      <c r="E242" s="7" t="s">
        <v>129</v>
      </c>
      <c r="F242" s="7" t="s">
        <v>130</v>
      </c>
      <c r="G242" s="8" t="s">
        <v>131</v>
      </c>
      <c r="H242" s="9">
        <v>60</v>
      </c>
      <c r="I242" s="10" t="s">
        <v>132</v>
      </c>
      <c r="J242" s="13">
        <v>46035</v>
      </c>
      <c r="K242" s="14">
        <v>27060</v>
      </c>
      <c r="L242" s="15" t="s">
        <v>20</v>
      </c>
      <c r="M242" s="18"/>
      <c r="N242" s="44">
        <f>15060+6000</f>
        <v>21060</v>
      </c>
      <c r="O242" s="7" t="s">
        <v>406</v>
      </c>
      <c r="P242" s="21">
        <v>46210</v>
      </c>
      <c r="Q242" s="43">
        <f t="shared" ref="Q242:Q273" si="23">IF(P242="","En attente paiement",P242-B242)</f>
        <v>116</v>
      </c>
      <c r="R242" s="22">
        <v>46065</v>
      </c>
      <c r="S242" s="26">
        <f t="shared" si="20"/>
        <v>61</v>
      </c>
      <c r="T242" s="29" t="str" cm="1">
        <f t="array" aca="1" ref="T242" ca="1">IFERROR(ROUND(CENTILE.SI.ENS($Q$2:$Q$2202,0.5,$E$2:$E$2202,E242,$Q$2:$Q$2202,"&gt;0"),0),"N/D")</f>
        <v>N/D</v>
      </c>
      <c r="U242" s="74">
        <f t="shared" si="21"/>
        <v>46167</v>
      </c>
    </row>
    <row r="243" spans="1:21" s="75" customFormat="1" ht="11.25" hidden="1" x14ac:dyDescent="0.2">
      <c r="A243" s="5" t="s">
        <v>100</v>
      </c>
      <c r="B243" s="5">
        <v>46092</v>
      </c>
      <c r="C243" s="5"/>
      <c r="D243" s="6">
        <v>202602042</v>
      </c>
      <c r="E243" s="7" t="s">
        <v>129</v>
      </c>
      <c r="F243" s="7" t="s">
        <v>238</v>
      </c>
      <c r="G243" s="13" t="s">
        <v>131</v>
      </c>
      <c r="H243" s="9">
        <v>30</v>
      </c>
      <c r="I243" s="10" t="s">
        <v>239</v>
      </c>
      <c r="J243" s="13">
        <v>46063</v>
      </c>
      <c r="K243" s="14">
        <v>27629.34</v>
      </c>
      <c r="L243" s="15" t="s">
        <v>20</v>
      </c>
      <c r="M243" s="18"/>
      <c r="N243" s="14">
        <v>14000</v>
      </c>
      <c r="O243" s="7" t="s">
        <v>314</v>
      </c>
      <c r="P243" s="32">
        <v>46118</v>
      </c>
      <c r="Q243" s="43">
        <f t="shared" si="23"/>
        <v>26</v>
      </c>
      <c r="R243" s="22">
        <v>46091</v>
      </c>
      <c r="S243" s="26">
        <f t="shared" si="20"/>
        <v>61</v>
      </c>
      <c r="T243" s="29" t="str" cm="1">
        <f t="array" aca="1" ref="T243" ca="1">IFERROR(ROUND(CENTILE.SI.ENS($Q$2:$Q$2202,0.5,$E$2:$E$2202,E243,$Q$2:$Q$2202,"&gt;0"),0),"N/D")</f>
        <v>N/D</v>
      </c>
      <c r="U243" s="74">
        <f t="shared" si="21"/>
        <v>46165</v>
      </c>
    </row>
    <row r="244" spans="1:21" s="75" customFormat="1" ht="11.25" hidden="1" x14ac:dyDescent="0.2">
      <c r="A244" s="5" t="s">
        <v>100</v>
      </c>
      <c r="B244" s="5">
        <v>46170</v>
      </c>
      <c r="C244" s="5"/>
      <c r="D244" s="6">
        <v>202604043</v>
      </c>
      <c r="E244" s="7" t="s">
        <v>129</v>
      </c>
      <c r="F244" s="7" t="s">
        <v>402</v>
      </c>
      <c r="G244" s="8" t="s">
        <v>22</v>
      </c>
      <c r="H244" s="9">
        <v>45</v>
      </c>
      <c r="I244" s="7" t="s">
        <v>403</v>
      </c>
      <c r="J244" s="13">
        <v>46126</v>
      </c>
      <c r="K244" s="14">
        <v>2100</v>
      </c>
      <c r="L244" s="15" t="s">
        <v>20</v>
      </c>
      <c r="M244" s="18"/>
      <c r="N244" s="44"/>
      <c r="O244" s="7"/>
      <c r="P244" s="21">
        <v>46210</v>
      </c>
      <c r="Q244" s="43">
        <f t="shared" si="23"/>
        <v>40</v>
      </c>
      <c r="R244" s="22">
        <v>46168</v>
      </c>
      <c r="S244" s="26">
        <f t="shared" si="20"/>
        <v>61</v>
      </c>
      <c r="T244" s="29" t="str" cm="1">
        <f t="array" aca="1" ref="T244" ca="1">IFERROR(ROUND(CENTILE.SI.ENS($Q$2:$Q$2202,0.5,$E$2:$E$2202,E244,$Q$2:$Q$2202,"&gt;0"),0),"N/D")</f>
        <v>N/D</v>
      </c>
      <c r="U244" s="74">
        <f t="shared" si="21"/>
        <v>46243</v>
      </c>
    </row>
    <row r="245" spans="1:21" s="75" customFormat="1" hidden="1" x14ac:dyDescent="0.2">
      <c r="A245" s="5" t="s">
        <v>250</v>
      </c>
      <c r="B245" s="5">
        <v>46234</v>
      </c>
      <c r="C245" s="5"/>
      <c r="D245" s="6">
        <v>202607048</v>
      </c>
      <c r="E245" s="7" t="s">
        <v>537</v>
      </c>
      <c r="F245" s="7" t="s">
        <v>50</v>
      </c>
      <c r="G245" s="8" t="s">
        <v>65</v>
      </c>
      <c r="H245" s="9" t="s">
        <v>137</v>
      </c>
      <c r="I245" s="7" t="s">
        <v>50</v>
      </c>
      <c r="J245" s="13">
        <v>46226</v>
      </c>
      <c r="K245" s="14">
        <v>281512.90000000002</v>
      </c>
      <c r="L245" s="15" t="s">
        <v>20</v>
      </c>
      <c r="M245" s="16"/>
      <c r="N245" s="44"/>
      <c r="O245" s="17"/>
      <c r="P245" s="21">
        <v>46239</v>
      </c>
      <c r="Q245" s="43">
        <f t="shared" si="23"/>
        <v>5</v>
      </c>
      <c r="R245" s="22"/>
      <c r="S245" s="26">
        <f t="shared" si="20"/>
        <v>5</v>
      </c>
      <c r="T245" s="29" t="str" cm="1">
        <f t="array" aca="1" ref="T245" ca="1">IFERROR(ROUND(CENTILE.SI.ENS($Q$2:$Q$2202,0.5,$E$2:$E$2202,E245,$Q$2:$Q$2202,"&gt;0"),0),"N/D")</f>
        <v>N/D</v>
      </c>
      <c r="U245" s="74">
        <f t="shared" si="21"/>
        <v>46240</v>
      </c>
    </row>
    <row r="246" spans="1:21" s="75" customFormat="1" ht="11.25" hidden="1" x14ac:dyDescent="0.2">
      <c r="A246" s="5" t="s">
        <v>58</v>
      </c>
      <c r="B246" s="5">
        <v>46143</v>
      </c>
      <c r="C246" s="5"/>
      <c r="D246" s="6">
        <v>202604049</v>
      </c>
      <c r="E246" s="7" t="s">
        <v>262</v>
      </c>
      <c r="F246" s="7" t="s">
        <v>263</v>
      </c>
      <c r="G246" s="8" t="s">
        <v>22</v>
      </c>
      <c r="H246" s="9">
        <v>60</v>
      </c>
      <c r="I246" s="10" t="s">
        <v>264</v>
      </c>
      <c r="J246" s="13">
        <v>46086</v>
      </c>
      <c r="K246" s="14">
        <v>30672.76</v>
      </c>
      <c r="L246" s="15" t="s">
        <v>20</v>
      </c>
      <c r="M246" s="18"/>
      <c r="N246" s="44"/>
      <c r="O246" s="79" t="s">
        <v>422</v>
      </c>
      <c r="P246" s="21">
        <v>46178</v>
      </c>
      <c r="Q246" s="43">
        <f t="shared" si="23"/>
        <v>35</v>
      </c>
      <c r="R246" s="22">
        <v>46090</v>
      </c>
      <c r="S246" s="26">
        <f t="shared" si="20"/>
        <v>35</v>
      </c>
      <c r="T246" s="29" t="str" cm="1">
        <f t="array" aca="1" ref="T246" ca="1">IFERROR(ROUND(CENTILE.SI.ENS($Q$2:$Q$2202,0.5,$E$2:$E$2202,E246,$Q$2:$Q$2202,"&gt;0"),0),"N/D")</f>
        <v>N/D</v>
      </c>
      <c r="U246" s="74">
        <f t="shared" si="21"/>
        <v>46185</v>
      </c>
    </row>
    <row r="247" spans="1:21" s="75" customFormat="1" hidden="1" x14ac:dyDescent="0.2">
      <c r="A247" s="5" t="s">
        <v>294</v>
      </c>
      <c r="B247" s="5">
        <v>46205</v>
      </c>
      <c r="C247" s="5">
        <v>46184</v>
      </c>
      <c r="D247" s="6">
        <v>202606014</v>
      </c>
      <c r="E247" s="7" t="s">
        <v>460</v>
      </c>
      <c r="F247" s="7" t="s">
        <v>453</v>
      </c>
      <c r="G247" s="8" t="s">
        <v>22</v>
      </c>
      <c r="H247" s="9">
        <v>30</v>
      </c>
      <c r="I247" s="7" t="s">
        <v>454</v>
      </c>
      <c r="J247" s="13">
        <v>46176</v>
      </c>
      <c r="K247" s="14">
        <v>68450.48</v>
      </c>
      <c r="L247" s="15" t="s">
        <v>20</v>
      </c>
      <c r="M247" s="16"/>
      <c r="N247" s="44"/>
      <c r="O247" s="17" t="s">
        <v>461</v>
      </c>
      <c r="P247" s="21">
        <v>46223</v>
      </c>
      <c r="Q247" s="43">
        <f t="shared" si="23"/>
        <v>18</v>
      </c>
      <c r="R247" s="22">
        <v>46183</v>
      </c>
      <c r="S247" s="26">
        <f t="shared" si="20"/>
        <v>18</v>
      </c>
      <c r="T247" s="29"/>
      <c r="U247" s="74">
        <f t="shared" si="21"/>
        <v>46227</v>
      </c>
    </row>
    <row r="248" spans="1:21" s="75" customFormat="1" ht="11.25" hidden="1" x14ac:dyDescent="0.2">
      <c r="A248" s="35" t="s">
        <v>18</v>
      </c>
      <c r="B248" s="35">
        <v>46076</v>
      </c>
      <c r="C248" s="35">
        <v>46055</v>
      </c>
      <c r="D248" s="36">
        <v>202601059</v>
      </c>
      <c r="E248" s="37" t="s">
        <v>28</v>
      </c>
      <c r="F248" s="37" t="s">
        <v>162</v>
      </c>
      <c r="G248" s="38" t="s">
        <v>19</v>
      </c>
      <c r="H248" s="39">
        <v>30</v>
      </c>
      <c r="I248" s="40" t="s">
        <v>163</v>
      </c>
      <c r="J248" s="38">
        <v>46046</v>
      </c>
      <c r="K248" s="44">
        <v>54773.27</v>
      </c>
      <c r="L248" s="42" t="s">
        <v>20</v>
      </c>
      <c r="M248" s="18"/>
      <c r="N248" s="44">
        <v>54773.27</v>
      </c>
      <c r="O248" s="7"/>
      <c r="P248" s="21">
        <v>46097</v>
      </c>
      <c r="Q248" s="43">
        <f t="shared" si="23"/>
        <v>21</v>
      </c>
      <c r="R248" s="21">
        <v>46062</v>
      </c>
      <c r="S248" s="26">
        <f t="shared" si="20"/>
        <v>35</v>
      </c>
      <c r="T248" s="29"/>
      <c r="U248" s="74">
        <f t="shared" si="21"/>
        <v>46118</v>
      </c>
    </row>
    <row r="249" spans="1:21" s="75" customFormat="1" ht="11.25" hidden="1" x14ac:dyDescent="0.2">
      <c r="A249" s="35" t="s">
        <v>18</v>
      </c>
      <c r="B249" s="35">
        <v>46071</v>
      </c>
      <c r="C249" s="35">
        <v>46045</v>
      </c>
      <c r="D249" s="36">
        <v>202601036</v>
      </c>
      <c r="E249" s="37" t="s">
        <v>28</v>
      </c>
      <c r="F249" s="37" t="s">
        <v>133</v>
      </c>
      <c r="G249" s="38" t="s">
        <v>22</v>
      </c>
      <c r="H249" s="39">
        <v>30</v>
      </c>
      <c r="I249" s="40" t="s">
        <v>53</v>
      </c>
      <c r="J249" s="38">
        <v>46042</v>
      </c>
      <c r="K249" s="44">
        <v>23515.01</v>
      </c>
      <c r="L249" s="42" t="s">
        <v>20</v>
      </c>
      <c r="M249" s="18"/>
      <c r="N249" s="44">
        <v>23515.01</v>
      </c>
      <c r="O249" s="7"/>
      <c r="P249" s="21">
        <v>46101</v>
      </c>
      <c r="Q249" s="43">
        <f t="shared" si="23"/>
        <v>30</v>
      </c>
      <c r="R249" s="21">
        <v>46072</v>
      </c>
      <c r="S249" s="26">
        <f t="shared" si="20"/>
        <v>35</v>
      </c>
      <c r="T249" s="29" t="str" cm="1">
        <f t="array" aca="1" ref="T249" ca="1">IFERROR(ROUND(CENTILE.SI.ENS($Q$2:$Q$2202,0.5,$E$2:$E$2202,E249,$Q$2:$Q$2202,"&gt;0"),0),"N/D")</f>
        <v>N/D</v>
      </c>
      <c r="U249" s="74">
        <f t="shared" si="21"/>
        <v>46113</v>
      </c>
    </row>
    <row r="250" spans="1:21" s="75" customFormat="1" ht="11.25" x14ac:dyDescent="0.2">
      <c r="A250" s="5" t="s">
        <v>55</v>
      </c>
      <c r="B250" s="5">
        <v>46262</v>
      </c>
      <c r="C250" s="5"/>
      <c r="D250" s="6">
        <v>202607070</v>
      </c>
      <c r="E250" s="7" t="s">
        <v>557</v>
      </c>
      <c r="F250" s="7" t="s">
        <v>558</v>
      </c>
      <c r="G250" s="8" t="s">
        <v>19</v>
      </c>
      <c r="H250" s="9">
        <v>30</v>
      </c>
      <c r="I250" s="7" t="s">
        <v>559</v>
      </c>
      <c r="J250" s="13">
        <v>46233</v>
      </c>
      <c r="K250" s="14">
        <v>1069.68</v>
      </c>
      <c r="L250" s="15" t="s">
        <v>34</v>
      </c>
      <c r="M250" s="18"/>
      <c r="N250" s="14"/>
      <c r="O250" s="7"/>
      <c r="P250" s="21"/>
      <c r="Q250" s="43" t="str">
        <f t="shared" si="23"/>
        <v>En attente paiement</v>
      </c>
      <c r="R250" s="22"/>
      <c r="S250" s="26" t="str">
        <f t="shared" si="20"/>
        <v>N/D</v>
      </c>
      <c r="T250" s="29" t="str" cm="1">
        <f t="array" aca="1" ref="T250" ca="1">IFERROR(ROUND(CENTILE.SI.ENS($Q$2:$Q$2202,0.5,$E$2:$E$2202,E250,$Q$2:$Q$2202,"&gt;0"),0),"N/D")</f>
        <v>N/D</v>
      </c>
      <c r="U250" s="74" t="str">
        <f t="shared" si="21"/>
        <v>N/D</v>
      </c>
    </row>
    <row r="251" spans="1:21" s="75" customFormat="1" ht="14.25" customHeight="1" x14ac:dyDescent="0.2">
      <c r="A251" s="5" t="s">
        <v>294</v>
      </c>
      <c r="B251" s="5">
        <v>46262</v>
      </c>
      <c r="C251" s="5">
        <v>46238</v>
      </c>
      <c r="D251" s="6">
        <v>202607063</v>
      </c>
      <c r="E251" s="7" t="s">
        <v>28</v>
      </c>
      <c r="F251" s="7" t="s">
        <v>551</v>
      </c>
      <c r="G251" s="8" t="s">
        <v>22</v>
      </c>
      <c r="H251" s="9">
        <v>30</v>
      </c>
      <c r="I251" s="7" t="s">
        <v>552</v>
      </c>
      <c r="J251" s="13">
        <v>46234</v>
      </c>
      <c r="K251" s="14">
        <v>44963.35</v>
      </c>
      <c r="L251" s="15" t="s">
        <v>20</v>
      </c>
      <c r="M251" s="18"/>
      <c r="N251" s="14"/>
      <c r="O251" s="7"/>
      <c r="P251" s="21"/>
      <c r="Q251" s="43" t="str">
        <f t="shared" si="23"/>
        <v>En attente paiement</v>
      </c>
      <c r="R251" s="22"/>
      <c r="S251" s="26">
        <f t="shared" si="20"/>
        <v>35</v>
      </c>
      <c r="T251" s="29" t="str" cm="1">
        <f t="array" aca="1" ref="T251" ca="1">IFERROR(ROUND(CENTILE.SI.ENS($Q$2:$Q$2202,0.5,$E$2:$E$2202,E251,$Q$2:$Q$2202,"&gt;0"),0),"N/D")</f>
        <v>N/D</v>
      </c>
      <c r="U251" s="74">
        <f t="shared" si="21"/>
        <v>46304</v>
      </c>
    </row>
    <row r="252" spans="1:21" s="75" customFormat="1" ht="11.25" hidden="1" x14ac:dyDescent="0.2">
      <c r="A252" s="35" t="s">
        <v>18</v>
      </c>
      <c r="B252" s="35">
        <v>46071</v>
      </c>
      <c r="C252" s="35">
        <v>46045</v>
      </c>
      <c r="D252" s="36">
        <v>202601037</v>
      </c>
      <c r="E252" s="37" t="s">
        <v>28</v>
      </c>
      <c r="F252" s="37" t="s">
        <v>134</v>
      </c>
      <c r="G252" s="38" t="s">
        <v>22</v>
      </c>
      <c r="H252" s="39">
        <v>30</v>
      </c>
      <c r="I252" s="40" t="s">
        <v>53</v>
      </c>
      <c r="J252" s="38">
        <v>46042</v>
      </c>
      <c r="K252" s="44">
        <v>23515.01</v>
      </c>
      <c r="L252" s="42" t="s">
        <v>20</v>
      </c>
      <c r="M252" s="18"/>
      <c r="N252" s="44">
        <v>23515.01</v>
      </c>
      <c r="O252" s="7"/>
      <c r="P252" s="21">
        <v>46101</v>
      </c>
      <c r="Q252" s="43">
        <f t="shared" si="23"/>
        <v>30</v>
      </c>
      <c r="R252" s="21">
        <v>46072</v>
      </c>
      <c r="S252" s="26">
        <f t="shared" si="20"/>
        <v>35</v>
      </c>
      <c r="T252" s="29" t="str" cm="1">
        <f t="array" aca="1" ref="T252" ca="1">IFERROR(ROUND(CENTILE.SI.ENS($Q$2:$Q$2202,0.5,$E$2:$E$2202,E252,$Q$2:$Q$2202,"&gt;0"),0),"N/D")</f>
        <v>N/D</v>
      </c>
      <c r="U252" s="74">
        <f t="shared" si="21"/>
        <v>46113</v>
      </c>
    </row>
    <row r="253" spans="1:21" s="75" customFormat="1" ht="11.25" hidden="1" x14ac:dyDescent="0.2">
      <c r="A253" s="35" t="s">
        <v>18</v>
      </c>
      <c r="B253" s="35">
        <v>46078</v>
      </c>
      <c r="C253" s="35">
        <v>46051</v>
      </c>
      <c r="D253" s="36">
        <v>202601055</v>
      </c>
      <c r="E253" s="37" t="s">
        <v>28</v>
      </c>
      <c r="F253" s="37" t="s">
        <v>158</v>
      </c>
      <c r="G253" s="38" t="s">
        <v>22</v>
      </c>
      <c r="H253" s="39">
        <v>30</v>
      </c>
      <c r="I253" s="40" t="s">
        <v>159</v>
      </c>
      <c r="J253" s="38">
        <v>46049</v>
      </c>
      <c r="K253" s="44">
        <v>55873.16</v>
      </c>
      <c r="L253" s="42" t="s">
        <v>20</v>
      </c>
      <c r="M253" s="18"/>
      <c r="N253" s="44">
        <v>55873.16</v>
      </c>
      <c r="O253" s="7"/>
      <c r="P253" s="21">
        <v>46101</v>
      </c>
      <c r="Q253" s="43">
        <f t="shared" si="23"/>
        <v>23</v>
      </c>
      <c r="R253" s="21">
        <v>46080</v>
      </c>
      <c r="S253" s="26">
        <f t="shared" si="20"/>
        <v>35</v>
      </c>
      <c r="T253" s="29" t="str" cm="1">
        <f t="array" aca="1" ref="T253" ca="1">IFERROR(ROUND(CENTILE.SI.ENS($Q$2:$Q$2202,0.5,$E$2:$E$2202,E253,$Q$2:$Q$2202,"&gt;0"),0),"N/D")</f>
        <v>N/D</v>
      </c>
      <c r="U253" s="74">
        <f t="shared" si="21"/>
        <v>46120</v>
      </c>
    </row>
    <row r="254" spans="1:21" s="75" customFormat="1" ht="11.25" hidden="1" x14ac:dyDescent="0.2">
      <c r="A254" s="5" t="s">
        <v>294</v>
      </c>
      <c r="B254" s="5">
        <v>46121</v>
      </c>
      <c r="C254" s="5">
        <v>46097</v>
      </c>
      <c r="D254" s="6">
        <v>202603021</v>
      </c>
      <c r="E254" s="7" t="s">
        <v>28</v>
      </c>
      <c r="F254" s="7" t="s">
        <v>241</v>
      </c>
      <c r="G254" s="8" t="s">
        <v>22</v>
      </c>
      <c r="H254" s="9">
        <v>30</v>
      </c>
      <c r="I254" s="10" t="s">
        <v>285</v>
      </c>
      <c r="J254" s="13">
        <v>46092</v>
      </c>
      <c r="K254" s="24">
        <v>540623.18999999994</v>
      </c>
      <c r="L254" s="15" t="s">
        <v>20</v>
      </c>
      <c r="M254" s="18">
        <v>46127</v>
      </c>
      <c r="N254" s="44"/>
      <c r="O254" s="7"/>
      <c r="P254" s="21">
        <v>46128</v>
      </c>
      <c r="Q254" s="43">
        <f t="shared" si="23"/>
        <v>7</v>
      </c>
      <c r="R254" s="22">
        <v>46113</v>
      </c>
      <c r="S254" s="26">
        <f t="shared" si="20"/>
        <v>35</v>
      </c>
      <c r="T254" s="29" t="str" cm="1">
        <f t="array" aca="1" ref="T254" ca="1">IFERROR(ROUND(CENTILE.SI.ENS($Q$2:$Q$2202,0.5,$E$2:$E$2202,E254,$Q$2:$Q$2202,"&gt;0"),0),"N/D")</f>
        <v>N/D</v>
      </c>
      <c r="U254" s="74">
        <f t="shared" si="21"/>
        <v>46163</v>
      </c>
    </row>
    <row r="255" spans="1:21" s="75" customFormat="1" ht="11.25" hidden="1" x14ac:dyDescent="0.2">
      <c r="A255" s="5" t="s">
        <v>18</v>
      </c>
      <c r="B255" s="5">
        <v>46115</v>
      </c>
      <c r="C255" s="5">
        <v>46099</v>
      </c>
      <c r="D255" s="6">
        <v>202603023</v>
      </c>
      <c r="E255" s="7" t="s">
        <v>28</v>
      </c>
      <c r="F255" s="7" t="s">
        <v>287</v>
      </c>
      <c r="G255" s="8" t="s">
        <v>22</v>
      </c>
      <c r="H255" s="9">
        <v>30</v>
      </c>
      <c r="I255" s="10" t="s">
        <v>288</v>
      </c>
      <c r="J255" s="13">
        <v>46086</v>
      </c>
      <c r="K255" s="14">
        <v>61180.95</v>
      </c>
      <c r="L255" s="15" t="s">
        <v>20</v>
      </c>
      <c r="M255" s="18"/>
      <c r="N255" s="44"/>
      <c r="O255" s="7"/>
      <c r="P255" s="21">
        <v>46129</v>
      </c>
      <c r="Q255" s="43">
        <f t="shared" si="23"/>
        <v>14</v>
      </c>
      <c r="R255" s="22">
        <v>46119</v>
      </c>
      <c r="S255" s="26">
        <f t="shared" si="20"/>
        <v>35</v>
      </c>
      <c r="T255" s="29" t="str" cm="1">
        <f t="array" aca="1" ref="T255" ca="1">IFERROR(ROUND(CENTILE.SI.ENS($Q$2:$Q$2202,0.5,$E$2:$E$2202,E255,$Q$2:$Q$2202,"&gt;0"),0),"N/D")</f>
        <v>N/D</v>
      </c>
      <c r="U255" s="74">
        <f t="shared" si="21"/>
        <v>46157</v>
      </c>
    </row>
    <row r="256" spans="1:21" s="75" customFormat="1" ht="11.25" hidden="1" x14ac:dyDescent="0.2">
      <c r="A256" s="5" t="s">
        <v>18</v>
      </c>
      <c r="B256" s="5">
        <v>46091</v>
      </c>
      <c r="C256" s="5">
        <v>46065</v>
      </c>
      <c r="D256" s="6">
        <v>202602020</v>
      </c>
      <c r="E256" s="7" t="s">
        <v>28</v>
      </c>
      <c r="F256" s="7" t="s">
        <v>158</v>
      </c>
      <c r="G256" s="13" t="s">
        <v>22</v>
      </c>
      <c r="H256" s="9">
        <v>30</v>
      </c>
      <c r="I256" s="10" t="s">
        <v>203</v>
      </c>
      <c r="J256" s="13">
        <v>46062</v>
      </c>
      <c r="K256" s="14">
        <v>46604.82</v>
      </c>
      <c r="L256" s="15" t="s">
        <v>20</v>
      </c>
      <c r="M256" s="18"/>
      <c r="N256" s="44"/>
      <c r="O256" s="7"/>
      <c r="P256" s="32">
        <v>46133</v>
      </c>
      <c r="Q256" s="43">
        <f t="shared" si="23"/>
        <v>42</v>
      </c>
      <c r="R256" s="22">
        <v>46065</v>
      </c>
      <c r="S256" s="26">
        <f t="shared" si="20"/>
        <v>35</v>
      </c>
      <c r="T256" s="29" t="str" cm="1">
        <f t="array" aca="1" ref="T256" ca="1">IFERROR(ROUND(CENTILE.SI.ENS($Q$2:$Q$2202,0.5,$E$2:$E$2202,E256,$Q$2:$Q$2202,"&gt;0"),0),"N/D")</f>
        <v>N/D</v>
      </c>
      <c r="U256" s="74">
        <f t="shared" si="21"/>
        <v>46133</v>
      </c>
    </row>
    <row r="257" spans="1:21" s="75" customFormat="1" ht="11.25" hidden="1" x14ac:dyDescent="0.2">
      <c r="A257" s="5" t="s">
        <v>18</v>
      </c>
      <c r="B257" s="5">
        <v>46080</v>
      </c>
      <c r="C257" s="5">
        <v>46057</v>
      </c>
      <c r="D257" s="6">
        <v>202601063</v>
      </c>
      <c r="E257" s="7" t="s">
        <v>28</v>
      </c>
      <c r="F257" s="7" t="s">
        <v>162</v>
      </c>
      <c r="G257" s="8" t="s">
        <v>19</v>
      </c>
      <c r="H257" s="9">
        <v>30</v>
      </c>
      <c r="I257" s="10" t="s">
        <v>163</v>
      </c>
      <c r="J257" s="13">
        <v>46052</v>
      </c>
      <c r="K257" s="24">
        <v>104360.81</v>
      </c>
      <c r="L257" s="15" t="s">
        <v>20</v>
      </c>
      <c r="M257" s="18">
        <v>46107</v>
      </c>
      <c r="N257" s="44"/>
      <c r="O257" s="7"/>
      <c r="P257" s="21">
        <v>46135</v>
      </c>
      <c r="Q257" s="43">
        <f t="shared" si="23"/>
        <v>55</v>
      </c>
      <c r="R257" s="22">
        <v>46066</v>
      </c>
      <c r="S257" s="26">
        <f t="shared" si="20"/>
        <v>35</v>
      </c>
      <c r="T257" s="29" t="str" cm="1">
        <f t="array" aca="1" ref="T257" ca="1">IFERROR(ROUND(CENTILE.SI.ENS($Q$2:$Q$2202,0.5,$E$2:$E$2202,E257,$Q$2:$Q$2202,"&gt;0"),0),"N/D")</f>
        <v>N/D</v>
      </c>
      <c r="U257" s="74">
        <f t="shared" si="21"/>
        <v>46122</v>
      </c>
    </row>
    <row r="258" spans="1:21" s="75" customFormat="1" ht="11.25" hidden="1" x14ac:dyDescent="0.2">
      <c r="A258" s="5" t="s">
        <v>18</v>
      </c>
      <c r="B258" s="5">
        <v>46080</v>
      </c>
      <c r="C258" s="5">
        <v>46057</v>
      </c>
      <c r="D258" s="6">
        <v>202601064</v>
      </c>
      <c r="E258" s="7" t="s">
        <v>28</v>
      </c>
      <c r="F258" s="7" t="s">
        <v>179</v>
      </c>
      <c r="G258" s="8" t="s">
        <v>19</v>
      </c>
      <c r="H258" s="9">
        <v>30</v>
      </c>
      <c r="I258" s="10" t="s">
        <v>163</v>
      </c>
      <c r="J258" s="13">
        <v>46052</v>
      </c>
      <c r="K258" s="24">
        <v>156987.81</v>
      </c>
      <c r="L258" s="15" t="s">
        <v>20</v>
      </c>
      <c r="M258" s="18">
        <v>46107</v>
      </c>
      <c r="N258" s="44"/>
      <c r="O258" s="7"/>
      <c r="P258" s="21">
        <v>46135</v>
      </c>
      <c r="Q258" s="43">
        <f t="shared" si="23"/>
        <v>55</v>
      </c>
      <c r="R258" s="22">
        <v>46066</v>
      </c>
      <c r="S258" s="26">
        <f t="shared" si="20"/>
        <v>35</v>
      </c>
      <c r="T258" s="29" t="str" cm="1">
        <f t="array" aca="1" ref="T258" ca="1">IFERROR(ROUND(CENTILE.SI.ENS($Q$2:$Q$2202,0.5,$E$2:$E$2202,E258,$Q$2:$Q$2202,"&gt;0"),0),"N/D")</f>
        <v>N/D</v>
      </c>
      <c r="U258" s="74">
        <f t="shared" si="21"/>
        <v>46122</v>
      </c>
    </row>
    <row r="259" spans="1:21" s="75" customFormat="1" ht="11.25" hidden="1" x14ac:dyDescent="0.2">
      <c r="A259" s="5" t="s">
        <v>18</v>
      </c>
      <c r="B259" s="5">
        <v>46101</v>
      </c>
      <c r="C259" s="5">
        <v>46087</v>
      </c>
      <c r="D259" s="6">
        <v>202602057</v>
      </c>
      <c r="E259" s="7" t="s">
        <v>28</v>
      </c>
      <c r="F259" s="7" t="s">
        <v>261</v>
      </c>
      <c r="G259" s="8" t="s">
        <v>22</v>
      </c>
      <c r="H259" s="9">
        <v>30</v>
      </c>
      <c r="I259" s="10" t="s">
        <v>249</v>
      </c>
      <c r="J259" s="13">
        <v>46074</v>
      </c>
      <c r="K259" s="24">
        <v>258375</v>
      </c>
      <c r="L259" s="15" t="s">
        <v>20</v>
      </c>
      <c r="M259" s="18">
        <v>46142</v>
      </c>
      <c r="N259" s="44"/>
      <c r="O259" s="7"/>
      <c r="P259" s="21">
        <v>46147</v>
      </c>
      <c r="Q259" s="43">
        <f t="shared" si="23"/>
        <v>46</v>
      </c>
      <c r="R259" s="22">
        <v>46094</v>
      </c>
      <c r="S259" s="26">
        <f t="shared" si="20"/>
        <v>35</v>
      </c>
      <c r="T259" s="29"/>
      <c r="U259" s="74">
        <f t="shared" si="21"/>
        <v>46143</v>
      </c>
    </row>
    <row r="260" spans="1:21" s="75" customFormat="1" ht="11.25" hidden="1" x14ac:dyDescent="0.2">
      <c r="A260" s="5" t="s">
        <v>294</v>
      </c>
      <c r="B260" s="5">
        <v>46143</v>
      </c>
      <c r="C260" s="5">
        <v>46127</v>
      </c>
      <c r="D260" s="6">
        <v>202604012</v>
      </c>
      <c r="E260" s="7" t="s">
        <v>28</v>
      </c>
      <c r="F260" s="7" t="s">
        <v>357</v>
      </c>
      <c r="G260" s="8" t="s">
        <v>22</v>
      </c>
      <c r="H260" s="9">
        <v>30</v>
      </c>
      <c r="I260" s="7" t="s">
        <v>358</v>
      </c>
      <c r="J260" s="13">
        <v>46115</v>
      </c>
      <c r="K260" s="24">
        <v>170913.39</v>
      </c>
      <c r="L260" s="15" t="s">
        <v>20</v>
      </c>
      <c r="M260" s="18">
        <v>46177</v>
      </c>
      <c r="N260" s="44"/>
      <c r="O260" s="7"/>
      <c r="P260" s="21">
        <v>46157</v>
      </c>
      <c r="Q260" s="43">
        <f t="shared" si="23"/>
        <v>14</v>
      </c>
      <c r="R260" s="21">
        <v>46146</v>
      </c>
      <c r="S260" s="26"/>
      <c r="T260" s="29"/>
      <c r="U260" s="74"/>
    </row>
    <row r="261" spans="1:21" s="75" customFormat="1" ht="11.25" hidden="1" x14ac:dyDescent="0.2">
      <c r="A261" s="5" t="s">
        <v>18</v>
      </c>
      <c r="B261" s="5">
        <v>46115</v>
      </c>
      <c r="C261" s="5">
        <v>46099</v>
      </c>
      <c r="D261" s="6">
        <v>202603024</v>
      </c>
      <c r="E261" s="7" t="s">
        <v>28</v>
      </c>
      <c r="F261" s="7" t="s">
        <v>289</v>
      </c>
      <c r="G261" s="8" t="s">
        <v>22</v>
      </c>
      <c r="H261" s="9">
        <v>30</v>
      </c>
      <c r="I261" s="10" t="s">
        <v>288</v>
      </c>
      <c r="J261" s="13">
        <v>46086</v>
      </c>
      <c r="K261" s="14">
        <v>58401.01</v>
      </c>
      <c r="L261" s="15" t="s">
        <v>20</v>
      </c>
      <c r="M261" s="18"/>
      <c r="N261" s="44"/>
      <c r="O261" s="7"/>
      <c r="P261" s="21">
        <v>46184</v>
      </c>
      <c r="Q261" s="43">
        <f t="shared" si="23"/>
        <v>69</v>
      </c>
      <c r="R261" s="22">
        <v>46119</v>
      </c>
      <c r="S261" s="26"/>
      <c r="T261" s="29"/>
      <c r="U261" s="74"/>
    </row>
    <row r="262" spans="1:21" s="75" customFormat="1" ht="11.25" hidden="1" x14ac:dyDescent="0.2">
      <c r="A262" s="5" t="s">
        <v>294</v>
      </c>
      <c r="B262" s="5">
        <v>46122</v>
      </c>
      <c r="C262" s="5">
        <v>46100</v>
      </c>
      <c r="D262" s="6">
        <v>202603030</v>
      </c>
      <c r="E262" s="7" t="s">
        <v>28</v>
      </c>
      <c r="F262" s="7" t="s">
        <v>295</v>
      </c>
      <c r="G262" s="8" t="s">
        <v>22</v>
      </c>
      <c r="H262" s="9">
        <v>30</v>
      </c>
      <c r="I262" s="10" t="s">
        <v>296</v>
      </c>
      <c r="J262" s="13">
        <v>46095</v>
      </c>
      <c r="K262" s="24">
        <v>270097</v>
      </c>
      <c r="L262" s="15" t="s">
        <v>20</v>
      </c>
      <c r="M262" s="18">
        <v>46170</v>
      </c>
      <c r="N262" s="44"/>
      <c r="O262" s="7"/>
      <c r="P262" s="21">
        <v>46184</v>
      </c>
      <c r="Q262" s="43">
        <f t="shared" si="23"/>
        <v>62</v>
      </c>
      <c r="R262" s="22">
        <v>46126</v>
      </c>
      <c r="S262" s="26"/>
      <c r="T262" s="29"/>
      <c r="U262" s="74"/>
    </row>
    <row r="263" spans="1:21" s="75" customFormat="1" ht="11.25" hidden="1" customHeight="1" x14ac:dyDescent="0.25">
      <c r="A263" s="5" t="s">
        <v>294</v>
      </c>
      <c r="B263" s="5">
        <v>46189</v>
      </c>
      <c r="C263" s="5">
        <v>46189</v>
      </c>
      <c r="D263" s="6">
        <v>202606021</v>
      </c>
      <c r="E263" s="7" t="s">
        <v>28</v>
      </c>
      <c r="F263" s="7" t="s">
        <v>45</v>
      </c>
      <c r="G263" s="8" t="s">
        <v>19</v>
      </c>
      <c r="H263" s="9">
        <v>0</v>
      </c>
      <c r="I263" s="7" t="s">
        <v>46</v>
      </c>
      <c r="J263" s="13">
        <v>45737</v>
      </c>
      <c r="K263" s="14">
        <v>6155</v>
      </c>
      <c r="L263" s="15" t="s">
        <v>20</v>
      </c>
      <c r="M263" s="16"/>
      <c r="N263" s="44"/>
      <c r="O263" s="82" t="s">
        <v>470</v>
      </c>
      <c r="P263" s="21">
        <v>46196</v>
      </c>
      <c r="Q263" s="43">
        <f t="shared" si="23"/>
        <v>7</v>
      </c>
      <c r="R263" s="22"/>
      <c r="S263" s="26"/>
      <c r="T263" s="29"/>
      <c r="U263" s="74"/>
    </row>
    <row r="264" spans="1:21" s="75" customFormat="1" ht="11.25" hidden="1" x14ac:dyDescent="0.2">
      <c r="A264" s="5" t="s">
        <v>18</v>
      </c>
      <c r="B264" s="5">
        <v>46108</v>
      </c>
      <c r="C264" s="5">
        <v>46086</v>
      </c>
      <c r="D264" s="6">
        <v>202602056</v>
      </c>
      <c r="E264" s="7" t="s">
        <v>28</v>
      </c>
      <c r="F264" s="7" t="s">
        <v>257</v>
      </c>
      <c r="G264" s="8" t="s">
        <v>22</v>
      </c>
      <c r="H264" s="9">
        <v>30</v>
      </c>
      <c r="I264" s="10" t="s">
        <v>53</v>
      </c>
      <c r="J264" s="13">
        <v>46081</v>
      </c>
      <c r="K264" s="14">
        <v>17842.5</v>
      </c>
      <c r="L264" s="15" t="s">
        <v>20</v>
      </c>
      <c r="M264" s="18"/>
      <c r="N264" s="44"/>
      <c r="O264" s="7"/>
      <c r="P264" s="21">
        <v>46191</v>
      </c>
      <c r="Q264" s="43">
        <f t="shared" si="23"/>
        <v>83</v>
      </c>
      <c r="R264" s="22">
        <v>46097</v>
      </c>
      <c r="S264" s="26">
        <f t="shared" ref="S264:S303" si="24">IFERROR(ROUND(AVERAGEIF($E$2:$E$2202,E264,$Q$2:$Q$2202),0),"N/D")</f>
        <v>35</v>
      </c>
      <c r="T264" s="29" t="str" cm="1">
        <f t="array" aca="1" ref="T264" ca="1">IFERROR(ROUND(CENTILE.SI.ENS($Q$2:$Q$2202,0.5,$E$2:$E$2202,E264,$Q$2:$Q$2202,"&gt;0"),0),"N/D")</f>
        <v>N/D</v>
      </c>
      <c r="U264" s="74">
        <f t="shared" ref="U264:U303" si="25">IFERROR(B264+ROUNDUP(AVERAGEIF($E$2:$E$2202,E264,$Q$2:$Q$2202)*1.2,0),"N/D")</f>
        <v>46150</v>
      </c>
    </row>
    <row r="265" spans="1:21" s="75" customFormat="1" hidden="1" x14ac:dyDescent="0.2">
      <c r="A265" s="5" t="s">
        <v>294</v>
      </c>
      <c r="B265" s="5">
        <v>46211</v>
      </c>
      <c r="C265" s="5">
        <v>46185</v>
      </c>
      <c r="D265" s="6">
        <v>202606018</v>
      </c>
      <c r="E265" s="7" t="s">
        <v>28</v>
      </c>
      <c r="F265" s="7" t="s">
        <v>465</v>
      </c>
      <c r="G265" s="8" t="s">
        <v>22</v>
      </c>
      <c r="H265" s="9">
        <v>30</v>
      </c>
      <c r="I265" s="7" t="s">
        <v>466</v>
      </c>
      <c r="J265" s="13">
        <v>46182</v>
      </c>
      <c r="K265" s="24">
        <v>444566.84</v>
      </c>
      <c r="L265" s="15" t="s">
        <v>20</v>
      </c>
      <c r="M265" s="16">
        <v>46220</v>
      </c>
      <c r="N265" s="44"/>
      <c r="O265" s="17"/>
      <c r="P265" s="21">
        <v>46252</v>
      </c>
      <c r="Q265" s="43">
        <f t="shared" si="23"/>
        <v>41</v>
      </c>
      <c r="R265" s="22">
        <v>46189</v>
      </c>
      <c r="S265" s="26">
        <f t="shared" si="24"/>
        <v>35</v>
      </c>
      <c r="T265" s="29"/>
      <c r="U265" s="74">
        <f t="shared" si="25"/>
        <v>46253</v>
      </c>
    </row>
    <row r="266" spans="1:21" s="75" customFormat="1" ht="11.25" hidden="1" customHeight="1" x14ac:dyDescent="0.2">
      <c r="A266" s="5" t="s">
        <v>294</v>
      </c>
      <c r="B266" s="5">
        <v>46211</v>
      </c>
      <c r="C266" s="5">
        <v>46185</v>
      </c>
      <c r="D266" s="6">
        <v>202606019</v>
      </c>
      <c r="E266" s="7" t="s">
        <v>28</v>
      </c>
      <c r="F266" s="7" t="s">
        <v>465</v>
      </c>
      <c r="G266" s="8" t="s">
        <v>22</v>
      </c>
      <c r="H266" s="9">
        <v>30</v>
      </c>
      <c r="I266" s="7" t="s">
        <v>466</v>
      </c>
      <c r="J266" s="13">
        <v>46182</v>
      </c>
      <c r="K266" s="14">
        <v>61290.75</v>
      </c>
      <c r="L266" s="15" t="s">
        <v>20</v>
      </c>
      <c r="M266" s="16"/>
      <c r="N266" s="44"/>
      <c r="O266" s="17"/>
      <c r="P266" s="21">
        <v>46252</v>
      </c>
      <c r="Q266" s="43">
        <f t="shared" si="23"/>
        <v>41</v>
      </c>
      <c r="R266" s="22">
        <v>46189</v>
      </c>
      <c r="S266" s="26">
        <f t="shared" si="24"/>
        <v>35</v>
      </c>
      <c r="T266" s="29" t="str" cm="1">
        <f t="array" aca="1" ref="T266" ca="1">IFERROR(ROUND(CENTILE.SI.ENS($Q$2:$Q$2202,0.5,$E$2:$E$2202,E266,$Q$2:$Q$2202,"&gt;0"),0),"N/D")</f>
        <v>N/D</v>
      </c>
      <c r="U266" s="74">
        <f t="shared" si="25"/>
        <v>46253</v>
      </c>
    </row>
    <row r="267" spans="1:21" s="75" customFormat="1" ht="14.25" customHeight="1" x14ac:dyDescent="0.2">
      <c r="A267" s="5" t="s">
        <v>294</v>
      </c>
      <c r="B267" s="5">
        <v>46262</v>
      </c>
      <c r="C267" s="5">
        <v>46240</v>
      </c>
      <c r="D267" s="6">
        <v>202607066</v>
      </c>
      <c r="E267" s="7" t="s">
        <v>28</v>
      </c>
      <c r="F267" s="7" t="s">
        <v>553</v>
      </c>
      <c r="G267" s="8" t="s">
        <v>22</v>
      </c>
      <c r="H267" s="9">
        <v>30</v>
      </c>
      <c r="I267" s="7" t="s">
        <v>554</v>
      </c>
      <c r="J267" s="13">
        <v>46234</v>
      </c>
      <c r="K267" s="14">
        <v>567890.06000000006</v>
      </c>
      <c r="L267" s="15" t="s">
        <v>20</v>
      </c>
      <c r="M267" s="18"/>
      <c r="N267" s="14"/>
      <c r="O267" s="7"/>
      <c r="P267" s="21"/>
      <c r="Q267" s="43" t="str">
        <f t="shared" si="23"/>
        <v>En attente paiement</v>
      </c>
      <c r="R267" s="22"/>
      <c r="S267" s="26">
        <f t="shared" si="24"/>
        <v>35</v>
      </c>
      <c r="T267" s="29" t="str" cm="1">
        <f t="array" aca="1" ref="T267" ca="1">IFERROR(ROUND(CENTILE.SI.ENS($Q$2:$Q$2202,0.5,$E$2:$E$2202,E267,$Q$2:$Q$2202,"&gt;0"),0),"N/D")</f>
        <v>N/D</v>
      </c>
      <c r="U267" s="74">
        <f t="shared" si="25"/>
        <v>46304</v>
      </c>
    </row>
    <row r="268" spans="1:21" s="75" customFormat="1" ht="11.25" hidden="1" customHeight="1" x14ac:dyDescent="0.25">
      <c r="A268" s="5" t="s">
        <v>294</v>
      </c>
      <c r="B268" s="5">
        <v>46220</v>
      </c>
      <c r="C268" s="5">
        <v>46192</v>
      </c>
      <c r="D268" s="6">
        <v>202606026</v>
      </c>
      <c r="E268" s="7" t="s">
        <v>28</v>
      </c>
      <c r="F268" s="7" t="s">
        <v>473</v>
      </c>
      <c r="G268" s="8" t="s">
        <v>22</v>
      </c>
      <c r="H268" s="9">
        <v>30</v>
      </c>
      <c r="I268" s="7" t="s">
        <v>474</v>
      </c>
      <c r="J268" s="13">
        <v>46191</v>
      </c>
      <c r="K268" s="14">
        <v>576779</v>
      </c>
      <c r="L268" s="15" t="s">
        <v>20</v>
      </c>
      <c r="M268" s="46"/>
      <c r="N268" s="44"/>
      <c r="O268" s="17" t="s">
        <v>515</v>
      </c>
      <c r="P268" s="21">
        <v>46228</v>
      </c>
      <c r="Q268" s="43">
        <f t="shared" si="23"/>
        <v>8</v>
      </c>
      <c r="R268" s="22">
        <v>46223</v>
      </c>
      <c r="S268" s="26">
        <f t="shared" si="24"/>
        <v>35</v>
      </c>
      <c r="T268" s="29" t="str" cm="1">
        <f t="array" aca="1" ref="T268" ca="1">IFERROR(ROUND(CENTILE.SI.ENS($Q$2:$Q$2202,0.5,$E$2:$E$2202,E268,$Q$2:$Q$2202,"&gt;0"),0),"N/D")</f>
        <v>N/D</v>
      </c>
      <c r="U268" s="74">
        <f t="shared" si="25"/>
        <v>46262</v>
      </c>
    </row>
    <row r="269" spans="1:21" ht="11.25" hidden="1" customHeight="1" x14ac:dyDescent="0.2">
      <c r="A269" s="5" t="s">
        <v>294</v>
      </c>
      <c r="B269" s="5">
        <v>46239</v>
      </c>
      <c r="C269" s="5">
        <v>46211</v>
      </c>
      <c r="D269" s="6">
        <v>202607012</v>
      </c>
      <c r="E269" s="7" t="s">
        <v>28</v>
      </c>
      <c r="F269" s="7" t="s">
        <v>465</v>
      </c>
      <c r="G269" s="8" t="s">
        <v>22</v>
      </c>
      <c r="H269" s="9">
        <v>30</v>
      </c>
      <c r="I269" s="7" t="s">
        <v>501</v>
      </c>
      <c r="J269" s="13">
        <v>46210</v>
      </c>
      <c r="K269" s="24">
        <v>383240</v>
      </c>
      <c r="L269" s="15" t="s">
        <v>20</v>
      </c>
      <c r="M269" s="16">
        <v>46285</v>
      </c>
      <c r="N269" s="44"/>
      <c r="O269" s="17"/>
      <c r="P269" s="21">
        <v>46252</v>
      </c>
      <c r="Q269" s="43">
        <f t="shared" si="23"/>
        <v>13</v>
      </c>
      <c r="R269" s="22">
        <v>46226</v>
      </c>
      <c r="S269" s="26">
        <f t="shared" si="24"/>
        <v>35</v>
      </c>
      <c r="T269" s="29" t="str" cm="1">
        <f t="array" aca="1" ref="T269" ca="1">IFERROR(ROUND(CENTILE.SI.ENS($Q$2:$Q$2202,0.5,$E$2:$E$2202,E269,$Q$2:$Q$2202,"&gt;0"),0),"N/D")</f>
        <v>N/D</v>
      </c>
      <c r="U269" s="74">
        <f t="shared" si="25"/>
        <v>46281</v>
      </c>
    </row>
    <row r="270" spans="1:21" ht="11.25" customHeight="1" x14ac:dyDescent="0.2">
      <c r="A270" s="5" t="s">
        <v>85</v>
      </c>
      <c r="B270" s="5">
        <v>46262</v>
      </c>
      <c r="D270" s="84">
        <v>202608026</v>
      </c>
      <c r="E270" s="7" t="s">
        <v>86</v>
      </c>
      <c r="F270" s="7" t="s">
        <v>547</v>
      </c>
      <c r="G270" s="8" t="s">
        <v>65</v>
      </c>
      <c r="H270" s="9">
        <v>14</v>
      </c>
      <c r="I270" s="7" t="s">
        <v>447</v>
      </c>
      <c r="J270" s="13">
        <v>46251</v>
      </c>
      <c r="K270" s="14">
        <v>7437.5</v>
      </c>
      <c r="L270" s="15" t="s">
        <v>20</v>
      </c>
      <c r="Q270" s="43" t="str">
        <f t="shared" si="23"/>
        <v>En attente paiement</v>
      </c>
      <c r="S270" s="26">
        <f t="shared" si="24"/>
        <v>1</v>
      </c>
      <c r="T270" s="29" t="str" cm="1">
        <f t="array" aca="1" ref="T270" ca="1">IFERROR(ROUND(CENTILE.SI.ENS($Q$2:$Q$2202,0.5,$E$2:$E$2202,E270,$Q$2:$Q$2202,"&gt;0"),0),"N/D")</f>
        <v>N/D</v>
      </c>
      <c r="U270" s="74">
        <f t="shared" si="25"/>
        <v>46264</v>
      </c>
    </row>
    <row r="271" spans="1:21" ht="14.25" customHeight="1" x14ac:dyDescent="0.2">
      <c r="A271" s="5" t="s">
        <v>294</v>
      </c>
      <c r="B271" s="5">
        <v>46265</v>
      </c>
      <c r="C271" s="5">
        <v>46248</v>
      </c>
      <c r="D271" s="6">
        <v>202608016</v>
      </c>
      <c r="E271" s="7" t="s">
        <v>28</v>
      </c>
      <c r="F271" s="7" t="s">
        <v>241</v>
      </c>
      <c r="G271" s="8" t="s">
        <v>22</v>
      </c>
      <c r="H271" s="9">
        <v>30</v>
      </c>
      <c r="I271" s="7" t="s">
        <v>568</v>
      </c>
      <c r="J271" s="13">
        <v>46236</v>
      </c>
      <c r="K271" s="14">
        <v>586834.01</v>
      </c>
      <c r="L271" s="15" t="s">
        <v>20</v>
      </c>
      <c r="Q271" s="43" t="str">
        <f t="shared" si="23"/>
        <v>En attente paiement</v>
      </c>
      <c r="S271" s="26">
        <f t="shared" si="24"/>
        <v>35</v>
      </c>
      <c r="T271" s="29" t="str" cm="1">
        <f t="array" aca="1" ref="T271" ca="1">IFERROR(ROUND(CENTILE.SI.ENS($Q$2:$Q$2202,0.5,$E$2:$E$2202,E271,$Q$2:$Q$2202,"&gt;0"),0),"N/D")</f>
        <v>N/D</v>
      </c>
      <c r="U271" s="74">
        <f t="shared" si="25"/>
        <v>46307</v>
      </c>
    </row>
    <row r="272" spans="1:21" ht="14.25" customHeight="1" x14ac:dyDescent="0.2">
      <c r="A272" s="5" t="s">
        <v>100</v>
      </c>
      <c r="B272" s="5">
        <v>46266</v>
      </c>
      <c r="D272" s="6">
        <v>202608022</v>
      </c>
      <c r="E272" s="7" t="s">
        <v>167</v>
      </c>
      <c r="F272" s="7" t="s">
        <v>575</v>
      </c>
      <c r="G272" s="8" t="s">
        <v>65</v>
      </c>
      <c r="H272" s="9">
        <v>14</v>
      </c>
      <c r="I272" s="7" t="s">
        <v>443</v>
      </c>
      <c r="J272" s="13">
        <v>46253</v>
      </c>
      <c r="K272" s="14">
        <v>262890.68</v>
      </c>
      <c r="L272" s="15" t="s">
        <v>20</v>
      </c>
      <c r="Q272" s="43" t="str">
        <f t="shared" si="23"/>
        <v>En attente paiement</v>
      </c>
      <c r="S272" s="26">
        <f t="shared" si="24"/>
        <v>-1</v>
      </c>
      <c r="T272" s="29" t="str" cm="1">
        <f t="array" aca="1" ref="T272" ca="1">IFERROR(ROUND(CENTILE.SI.ENS($Q$2:$Q$2202,0.5,$E$2:$E$2202,E272,$Q$2:$Q$2202,"&gt;0"),0),"N/D")</f>
        <v>N/D</v>
      </c>
      <c r="U272" s="74">
        <f t="shared" si="25"/>
        <v>46264</v>
      </c>
    </row>
    <row r="273" spans="1:21" ht="14.25" customHeight="1" x14ac:dyDescent="0.2">
      <c r="A273" s="5" t="s">
        <v>55</v>
      </c>
      <c r="B273" s="5">
        <v>46267</v>
      </c>
      <c r="D273" s="6">
        <v>202607046</v>
      </c>
      <c r="E273" s="7" t="s">
        <v>36</v>
      </c>
      <c r="F273" s="7" t="s">
        <v>535</v>
      </c>
      <c r="G273" s="8" t="s">
        <v>22</v>
      </c>
      <c r="H273" s="9">
        <v>45</v>
      </c>
      <c r="I273" s="7" t="s">
        <v>218</v>
      </c>
      <c r="J273" s="13">
        <v>46223</v>
      </c>
      <c r="K273" s="14">
        <v>86105.63</v>
      </c>
      <c r="L273" s="15" t="s">
        <v>20</v>
      </c>
      <c r="Q273" s="43" t="str">
        <f t="shared" si="23"/>
        <v>En attente paiement</v>
      </c>
      <c r="R273" s="22">
        <v>46237</v>
      </c>
      <c r="S273" s="26">
        <f t="shared" si="24"/>
        <v>22</v>
      </c>
      <c r="T273" s="29" t="str" cm="1">
        <f t="array" aca="1" ref="T273" ca="1">IFERROR(ROUND(CENTILE.SI.ENS($Q$2:$Q$2202,0.5,$E$2:$E$2202,E273,$Q$2:$Q$2202,"&gt;0"),0),"N/D")</f>
        <v>N/D</v>
      </c>
      <c r="U273" s="74">
        <f t="shared" si="25"/>
        <v>46294</v>
      </c>
    </row>
    <row r="274" spans="1:21" ht="14.25" customHeight="1" x14ac:dyDescent="0.2">
      <c r="A274" s="5" t="s">
        <v>55</v>
      </c>
      <c r="B274" s="5">
        <v>46268</v>
      </c>
      <c r="D274" s="6">
        <v>202608015</v>
      </c>
      <c r="E274" s="7" t="s">
        <v>70</v>
      </c>
      <c r="F274" s="7" t="s">
        <v>567</v>
      </c>
      <c r="G274" s="8" t="s">
        <v>22</v>
      </c>
      <c r="H274" s="9">
        <v>30</v>
      </c>
      <c r="I274" s="7" t="s">
        <v>88</v>
      </c>
      <c r="J274" s="13">
        <v>46239</v>
      </c>
      <c r="K274" s="14">
        <v>185189.68</v>
      </c>
      <c r="L274" s="15" t="s">
        <v>20</v>
      </c>
      <c r="Q274" s="43" t="str">
        <f t="shared" ref="Q274:Q305" si="26">IF(P274="","En attente paiement",P274-B274)</f>
        <v>En attente paiement</v>
      </c>
      <c r="S274" s="26">
        <f t="shared" si="24"/>
        <v>1</v>
      </c>
      <c r="T274" s="29" t="str" cm="1">
        <f t="array" aca="1" ref="T274" ca="1">IFERROR(ROUND(CENTILE.SI.ENS($Q$2:$Q$2202,0.5,$E$2:$E$2202,E274,$Q$2:$Q$2202,"&gt;0"),0),"N/D")</f>
        <v>N/D</v>
      </c>
      <c r="U274" s="74">
        <f t="shared" si="25"/>
        <v>46270</v>
      </c>
    </row>
    <row r="275" spans="1:21" ht="14.25" customHeight="1" x14ac:dyDescent="0.2">
      <c r="A275" s="5" t="s">
        <v>250</v>
      </c>
      <c r="B275" s="5">
        <v>46269</v>
      </c>
      <c r="D275" s="6">
        <v>202608020</v>
      </c>
      <c r="E275" s="7" t="s">
        <v>319</v>
      </c>
      <c r="F275" s="7" t="s">
        <v>445</v>
      </c>
      <c r="G275" s="8" t="s">
        <v>131</v>
      </c>
      <c r="H275" s="9">
        <v>30</v>
      </c>
      <c r="I275" s="7" t="s">
        <v>484</v>
      </c>
      <c r="J275" s="13">
        <v>46242</v>
      </c>
      <c r="K275" s="14">
        <v>42165.760000000002</v>
      </c>
      <c r="L275" s="15" t="s">
        <v>20</v>
      </c>
      <c r="Q275" s="43" t="str">
        <f t="shared" si="26"/>
        <v>En attente paiement</v>
      </c>
      <c r="S275" s="26">
        <f t="shared" si="24"/>
        <v>0</v>
      </c>
      <c r="T275" s="29" t="str" cm="1">
        <f t="array" aca="1" ref="T275" ca="1">IFERROR(ROUND(CENTILE.SI.ENS($Q$2:$Q$2202,0.5,$E$2:$E$2202,E275,$Q$2:$Q$2202,"&gt;0"),0),"N/D")</f>
        <v>N/D</v>
      </c>
      <c r="U275" s="74">
        <f t="shared" si="25"/>
        <v>46268</v>
      </c>
    </row>
    <row r="276" spans="1:21" ht="14.25" customHeight="1" x14ac:dyDescent="0.2">
      <c r="A276" s="5" t="s">
        <v>55</v>
      </c>
      <c r="B276" s="5">
        <v>46272</v>
      </c>
      <c r="D276" s="6">
        <v>202607062</v>
      </c>
      <c r="E276" s="7" t="s">
        <v>36</v>
      </c>
      <c r="F276" s="7" t="s">
        <v>514</v>
      </c>
      <c r="G276" s="8" t="s">
        <v>22</v>
      </c>
      <c r="H276" s="9">
        <v>45</v>
      </c>
      <c r="I276" s="7" t="s">
        <v>171</v>
      </c>
      <c r="J276" s="13">
        <v>46228</v>
      </c>
      <c r="K276" s="14">
        <v>57370.12</v>
      </c>
      <c r="L276" s="15" t="s">
        <v>34</v>
      </c>
      <c r="Q276" s="43" t="str">
        <f t="shared" si="26"/>
        <v>En attente paiement</v>
      </c>
      <c r="R276" s="22">
        <v>46258</v>
      </c>
      <c r="S276" s="26">
        <f t="shared" si="24"/>
        <v>22</v>
      </c>
      <c r="T276" s="29" t="str" cm="1">
        <f t="array" aca="1" ref="T276" ca="1">IFERROR(ROUND(CENTILE.SI.ENS($Q$2:$Q$2202,0.5,$E$2:$E$2202,E276,$Q$2:$Q$2202,"&gt;0"),0),"N/D")</f>
        <v>N/D</v>
      </c>
      <c r="U276" s="74">
        <f t="shared" si="25"/>
        <v>46299</v>
      </c>
    </row>
    <row r="277" spans="1:21" ht="11.25" hidden="1" customHeight="1" x14ac:dyDescent="0.2">
      <c r="A277" s="5" t="s">
        <v>58</v>
      </c>
      <c r="B277" s="5">
        <v>46150</v>
      </c>
      <c r="D277" s="6">
        <v>202604009</v>
      </c>
      <c r="E277" s="7" t="s">
        <v>70</v>
      </c>
      <c r="F277" s="7" t="s">
        <v>350</v>
      </c>
      <c r="G277" s="8" t="s">
        <v>22</v>
      </c>
      <c r="H277" s="9">
        <v>30</v>
      </c>
      <c r="I277" s="7" t="s">
        <v>52</v>
      </c>
      <c r="J277" s="13">
        <v>46123</v>
      </c>
      <c r="K277" s="24">
        <v>196270</v>
      </c>
      <c r="L277" s="15" t="s">
        <v>20</v>
      </c>
      <c r="M277" s="18">
        <v>46157</v>
      </c>
      <c r="N277" s="44"/>
      <c r="P277" s="21">
        <v>46155</v>
      </c>
      <c r="Q277" s="43">
        <f t="shared" si="26"/>
        <v>5</v>
      </c>
      <c r="R277" s="22">
        <v>46146</v>
      </c>
      <c r="S277" s="26">
        <f t="shared" si="24"/>
        <v>1</v>
      </c>
      <c r="T277" s="29" t="str" cm="1">
        <f t="array" aca="1" ref="T277" ca="1">IFERROR(ROUND(CENTILE.SI.ENS($Q$2:$Q$2202,0.5,$E$2:$E$2202,E277,$Q$2:$Q$2202,"&gt;0"),0),"N/D")</f>
        <v>N/D</v>
      </c>
      <c r="U277" s="74">
        <f t="shared" si="25"/>
        <v>46152</v>
      </c>
    </row>
    <row r="278" spans="1:21" ht="11.25" hidden="1" customHeight="1" x14ac:dyDescent="0.2">
      <c r="A278" s="35" t="s">
        <v>58</v>
      </c>
      <c r="B278" s="35">
        <v>46077</v>
      </c>
      <c r="C278" s="35"/>
      <c r="D278" s="36">
        <v>202601047</v>
      </c>
      <c r="E278" s="37" t="s">
        <v>70</v>
      </c>
      <c r="F278" s="37" t="s">
        <v>151</v>
      </c>
      <c r="G278" s="38" t="s">
        <v>22</v>
      </c>
      <c r="H278" s="39">
        <v>30</v>
      </c>
      <c r="I278" s="40" t="s">
        <v>97</v>
      </c>
      <c r="J278" s="38">
        <v>46048</v>
      </c>
      <c r="K278" s="44">
        <v>98018.92</v>
      </c>
      <c r="L278" s="42" t="s">
        <v>20</v>
      </c>
      <c r="N278" s="44">
        <v>98018.92</v>
      </c>
      <c r="P278" s="21">
        <v>46079</v>
      </c>
      <c r="Q278" s="43">
        <f t="shared" si="26"/>
        <v>2</v>
      </c>
      <c r="R278" s="21">
        <v>46077</v>
      </c>
      <c r="S278" s="26">
        <f t="shared" si="24"/>
        <v>1</v>
      </c>
      <c r="T278" s="29" t="str" cm="1">
        <f t="array" aca="1" ref="T278" ca="1">IFERROR(ROUND(CENTILE.SI.ENS($Q$2:$Q$2202,0.5,$E$2:$E$2202,E278,$Q$2:$Q$2202,"&gt;0"),0),"N/D")</f>
        <v>N/D</v>
      </c>
      <c r="U278" s="74">
        <f t="shared" si="25"/>
        <v>46079</v>
      </c>
    </row>
    <row r="279" spans="1:21" ht="11.25" hidden="1" customHeight="1" x14ac:dyDescent="0.2">
      <c r="A279" s="35" t="s">
        <v>58</v>
      </c>
      <c r="B279" s="35">
        <v>46091</v>
      </c>
      <c r="C279" s="35"/>
      <c r="D279" s="36">
        <v>202602014</v>
      </c>
      <c r="E279" s="37" t="s">
        <v>70</v>
      </c>
      <c r="F279" s="37" t="s">
        <v>200</v>
      </c>
      <c r="G279" s="38" t="s">
        <v>22</v>
      </c>
      <c r="H279" s="39">
        <v>30</v>
      </c>
      <c r="I279" s="40" t="s">
        <v>101</v>
      </c>
      <c r="J279" s="38">
        <v>46091</v>
      </c>
      <c r="K279" s="44">
        <v>267748.78999999998</v>
      </c>
      <c r="L279" s="42" t="s">
        <v>20</v>
      </c>
      <c r="N279" s="44"/>
      <c r="P279" s="21">
        <v>46092</v>
      </c>
      <c r="Q279" s="43">
        <f t="shared" si="26"/>
        <v>1</v>
      </c>
      <c r="R279" s="21">
        <v>46092</v>
      </c>
      <c r="S279" s="26">
        <f t="shared" si="24"/>
        <v>1</v>
      </c>
      <c r="T279" s="29" t="str" cm="1">
        <f t="array" aca="1" ref="T279" ca="1">IFERROR(ROUND(CENTILE.SI.ENS($Q$2:$Q$2202,0.5,$E$2:$E$2202,E279,$Q$2:$Q$2202,"&gt;0"),0),"N/D")</f>
        <v>N/D</v>
      </c>
      <c r="U279" s="74">
        <f t="shared" si="25"/>
        <v>46093</v>
      </c>
    </row>
    <row r="280" spans="1:21" ht="11.25" hidden="1" customHeight="1" x14ac:dyDescent="0.2">
      <c r="A280" s="35" t="s">
        <v>58</v>
      </c>
      <c r="B280" s="35">
        <v>46093</v>
      </c>
      <c r="C280" s="35"/>
      <c r="D280" s="36">
        <v>202602034</v>
      </c>
      <c r="E280" s="37" t="s">
        <v>70</v>
      </c>
      <c r="F280" s="37" t="s">
        <v>229</v>
      </c>
      <c r="G280" s="38" t="s">
        <v>22</v>
      </c>
      <c r="H280" s="39">
        <v>30</v>
      </c>
      <c r="I280" s="40" t="s">
        <v>48</v>
      </c>
      <c r="J280" s="38">
        <v>46064</v>
      </c>
      <c r="K280" s="44">
        <v>119925.4</v>
      </c>
      <c r="L280" s="42" t="s">
        <v>20</v>
      </c>
      <c r="N280" s="44"/>
      <c r="P280" s="21">
        <v>46092</v>
      </c>
      <c r="Q280" s="43">
        <f t="shared" si="26"/>
        <v>-1</v>
      </c>
      <c r="R280" s="21">
        <v>46094</v>
      </c>
      <c r="S280" s="26">
        <f t="shared" si="24"/>
        <v>1</v>
      </c>
      <c r="T280" s="29" t="str" cm="1">
        <f t="array" aca="1" ref="T280" ca="1">IFERROR(ROUND(CENTILE.SI.ENS($Q$2:$Q$2202,0.5,$E$2:$E$2202,E280,$Q$2:$Q$2202,"&gt;0"),0),"N/D")</f>
        <v>N/D</v>
      </c>
      <c r="U280" s="74">
        <f t="shared" si="25"/>
        <v>46095</v>
      </c>
    </row>
    <row r="281" spans="1:21" ht="11.25" hidden="1" customHeight="1" x14ac:dyDescent="0.2">
      <c r="A281" s="5" t="s">
        <v>58</v>
      </c>
      <c r="B281" s="5">
        <v>46115</v>
      </c>
      <c r="D281" s="6">
        <v>202603011</v>
      </c>
      <c r="E281" s="7" t="s">
        <v>70</v>
      </c>
      <c r="F281" s="7" t="s">
        <v>273</v>
      </c>
      <c r="G281" s="8" t="s">
        <v>22</v>
      </c>
      <c r="H281" s="9">
        <v>30</v>
      </c>
      <c r="I281" s="10" t="s">
        <v>101</v>
      </c>
      <c r="J281" s="13">
        <v>46087</v>
      </c>
      <c r="K281" s="14">
        <v>192162.39</v>
      </c>
      <c r="L281" s="15" t="s">
        <v>20</v>
      </c>
      <c r="N281" s="44"/>
      <c r="P281" s="21">
        <v>46114</v>
      </c>
      <c r="Q281" s="43">
        <f t="shared" si="26"/>
        <v>-1</v>
      </c>
      <c r="R281" s="22">
        <v>46119</v>
      </c>
      <c r="S281" s="26">
        <f t="shared" si="24"/>
        <v>1</v>
      </c>
      <c r="T281" s="29" t="str" cm="1">
        <f t="array" aca="1" ref="T281" ca="1">IFERROR(ROUND(CENTILE.SI.ENS($Q$2:$Q$2202,0.5,$E$2:$E$2202,E281,$Q$2:$Q$2202,"&gt;0"),0),"N/D")</f>
        <v>N/D</v>
      </c>
      <c r="U281" s="74">
        <f t="shared" si="25"/>
        <v>46117</v>
      </c>
    </row>
    <row r="282" spans="1:21" ht="11.25" hidden="1" customHeight="1" x14ac:dyDescent="0.2">
      <c r="A282" s="5" t="s">
        <v>58</v>
      </c>
      <c r="B282" s="5">
        <v>46142</v>
      </c>
      <c r="D282" s="6">
        <v>202604001</v>
      </c>
      <c r="E282" s="7" t="s">
        <v>70</v>
      </c>
      <c r="F282" s="7" t="s">
        <v>330</v>
      </c>
      <c r="G282" s="8" t="s">
        <v>22</v>
      </c>
      <c r="H282" s="9">
        <v>30</v>
      </c>
      <c r="I282" s="7" t="s">
        <v>101</v>
      </c>
      <c r="J282" s="13">
        <v>46113</v>
      </c>
      <c r="K282" s="24">
        <v>275000</v>
      </c>
      <c r="L282" s="15" t="s">
        <v>20</v>
      </c>
      <c r="M282" s="18">
        <v>46148</v>
      </c>
      <c r="N282" s="44"/>
      <c r="P282" s="21">
        <v>46142</v>
      </c>
      <c r="Q282" s="43">
        <f t="shared" si="26"/>
        <v>0</v>
      </c>
      <c r="R282" s="22">
        <v>46108</v>
      </c>
      <c r="S282" s="26">
        <f t="shared" si="24"/>
        <v>1</v>
      </c>
      <c r="T282" s="29" t="str" cm="1">
        <f t="array" aca="1" ref="T282" ca="1">IFERROR(ROUND(CENTILE.SI.ENS($Q$2:$Q$2202,0.5,$E$2:$E$2202,E282,$Q$2:$Q$2202,"&gt;0"),0),"N/D")</f>
        <v>N/D</v>
      </c>
      <c r="U282" s="74">
        <f t="shared" si="25"/>
        <v>46144</v>
      </c>
    </row>
    <row r="283" spans="1:21" ht="11.25" hidden="1" customHeight="1" x14ac:dyDescent="0.2">
      <c r="A283" s="5" t="s">
        <v>58</v>
      </c>
      <c r="B283" s="5">
        <v>46204</v>
      </c>
      <c r="D283" s="6">
        <v>202606015</v>
      </c>
      <c r="E283" s="7" t="s">
        <v>70</v>
      </c>
      <c r="F283" s="7" t="s">
        <v>462</v>
      </c>
      <c r="G283" s="8" t="s">
        <v>22</v>
      </c>
      <c r="H283" s="9">
        <v>30</v>
      </c>
      <c r="I283" s="7" t="s">
        <v>101</v>
      </c>
      <c r="J283" s="13">
        <v>46175</v>
      </c>
      <c r="K283" s="24">
        <v>110601.8</v>
      </c>
      <c r="L283" s="15" t="s">
        <v>20</v>
      </c>
      <c r="M283" s="16">
        <v>46230</v>
      </c>
      <c r="N283" s="44"/>
      <c r="O283" s="17"/>
      <c r="P283" s="21">
        <v>46205</v>
      </c>
      <c r="Q283" s="43">
        <f t="shared" si="26"/>
        <v>1</v>
      </c>
      <c r="R283" s="22">
        <v>46211</v>
      </c>
      <c r="S283" s="26">
        <f t="shared" si="24"/>
        <v>1</v>
      </c>
      <c r="T283" s="29" t="str" cm="1">
        <f t="array" aca="1" ref="T283" ca="1">IFERROR(ROUND(CENTILE.SI.ENS($Q$2:$Q$2202,0.5,$E$2:$E$2202,E283,$Q$2:$Q$2202,"&gt;0"),0),"N/D")</f>
        <v>N/D</v>
      </c>
      <c r="U283" s="74">
        <f t="shared" si="25"/>
        <v>46206</v>
      </c>
    </row>
    <row r="284" spans="1:21" ht="11.25" hidden="1" customHeight="1" x14ac:dyDescent="0.2">
      <c r="A284" s="5" t="s">
        <v>58</v>
      </c>
      <c r="B284" s="5">
        <v>46246</v>
      </c>
      <c r="D284" s="6">
        <v>202607035</v>
      </c>
      <c r="E284" s="7" t="s">
        <v>70</v>
      </c>
      <c r="F284" s="7" t="s">
        <v>273</v>
      </c>
      <c r="G284" s="8" t="s">
        <v>22</v>
      </c>
      <c r="H284" s="9">
        <v>30</v>
      </c>
      <c r="I284" s="7" t="s">
        <v>101</v>
      </c>
      <c r="J284" s="13">
        <v>46217</v>
      </c>
      <c r="K284" s="14">
        <v>114210</v>
      </c>
      <c r="L284" s="15" t="s">
        <v>20</v>
      </c>
      <c r="M284" s="16"/>
      <c r="N284" s="44"/>
      <c r="O284" s="17"/>
      <c r="P284" s="21">
        <v>46248</v>
      </c>
      <c r="Q284" s="43">
        <f t="shared" si="26"/>
        <v>2</v>
      </c>
      <c r="R284" s="22">
        <v>46230</v>
      </c>
      <c r="S284" s="26">
        <f t="shared" si="24"/>
        <v>1</v>
      </c>
      <c r="T284" s="29" t="str" cm="1">
        <f t="array" aca="1" ref="T284" ca="1">IFERROR(ROUND(CENTILE.SI.ENS($Q$2:$Q$2202,0.5,$E$2:$E$2202,E284,$Q$2:$Q$2202,"&gt;0"),0),"N/D")</f>
        <v>N/D</v>
      </c>
      <c r="U284" s="74">
        <f t="shared" si="25"/>
        <v>46248</v>
      </c>
    </row>
    <row r="285" spans="1:21" ht="11.25" hidden="1" customHeight="1" x14ac:dyDescent="0.2">
      <c r="A285" s="5" t="s">
        <v>58</v>
      </c>
      <c r="B285" s="5">
        <v>46247</v>
      </c>
      <c r="D285" s="6">
        <v>202607024</v>
      </c>
      <c r="E285" s="7" t="s">
        <v>70</v>
      </c>
      <c r="F285" s="7" t="s">
        <v>273</v>
      </c>
      <c r="G285" s="8" t="s">
        <v>22</v>
      </c>
      <c r="H285" s="9">
        <v>30</v>
      </c>
      <c r="I285" s="7" t="s">
        <v>101</v>
      </c>
      <c r="J285" s="13">
        <v>46218</v>
      </c>
      <c r="K285" s="14">
        <v>282651.53000000003</v>
      </c>
      <c r="L285" s="15" t="s">
        <v>20</v>
      </c>
      <c r="M285" s="16"/>
      <c r="N285" s="44"/>
      <c r="O285" s="17"/>
      <c r="P285" s="21">
        <v>46248</v>
      </c>
      <c r="Q285" s="43">
        <f t="shared" si="26"/>
        <v>1</v>
      </c>
      <c r="R285" s="22">
        <v>46209</v>
      </c>
      <c r="S285" s="26">
        <f t="shared" si="24"/>
        <v>1</v>
      </c>
      <c r="T285" s="29" t="str" cm="1">
        <f t="array" aca="1" ref="T285" ca="1">IFERROR(ROUND(CENTILE.SI.ENS($Q$2:$Q$2202,0.5,$E$2:$E$2202,E285,$Q$2:$Q$2202,"&gt;0"),0),"N/D")</f>
        <v>N/D</v>
      </c>
      <c r="U285" s="74">
        <f t="shared" si="25"/>
        <v>46249</v>
      </c>
    </row>
    <row r="286" spans="1:21" ht="14.25" customHeight="1" x14ac:dyDescent="0.2">
      <c r="A286" s="5" t="s">
        <v>58</v>
      </c>
      <c r="B286" s="5">
        <v>46273</v>
      </c>
      <c r="D286" s="6">
        <v>202608009</v>
      </c>
      <c r="E286" s="7" t="s">
        <v>259</v>
      </c>
      <c r="F286" s="7" t="s">
        <v>561</v>
      </c>
      <c r="G286" s="8" t="s">
        <v>19</v>
      </c>
      <c r="H286" s="9">
        <v>30</v>
      </c>
      <c r="I286" s="7" t="s">
        <v>562</v>
      </c>
      <c r="J286" s="13">
        <v>46244</v>
      </c>
      <c r="K286" s="14">
        <v>334600</v>
      </c>
      <c r="L286" s="15" t="s">
        <v>20</v>
      </c>
      <c r="Q286" s="43" t="str">
        <f t="shared" si="26"/>
        <v>En attente paiement</v>
      </c>
      <c r="S286" s="26">
        <f t="shared" si="24"/>
        <v>5</v>
      </c>
      <c r="T286" s="29" t="str" cm="1">
        <f t="array" aca="1" ref="T286" ca="1">IFERROR(ROUND(CENTILE.SI.ENS($Q$2:$Q$2202,0.5,$E$2:$E$2202,E286,$Q$2:$Q$2202,"&gt;0"),0),"N/D")</f>
        <v>N/D</v>
      </c>
      <c r="U286" s="74">
        <f t="shared" si="25"/>
        <v>46279</v>
      </c>
    </row>
    <row r="287" spans="1:21" ht="11.25" hidden="1" customHeight="1" x14ac:dyDescent="0.2">
      <c r="A287" s="5" t="s">
        <v>58</v>
      </c>
      <c r="B287" s="5">
        <v>46195</v>
      </c>
      <c r="D287" s="6">
        <v>202604044</v>
      </c>
      <c r="E287" s="7" t="s">
        <v>400</v>
      </c>
      <c r="F287" s="7" t="s">
        <v>401</v>
      </c>
      <c r="G287" s="8" t="s">
        <v>19</v>
      </c>
      <c r="H287" s="9">
        <v>60</v>
      </c>
      <c r="I287" s="7" t="s">
        <v>101</v>
      </c>
      <c r="J287" s="13">
        <v>46136</v>
      </c>
      <c r="K287" s="14">
        <v>158962.5</v>
      </c>
      <c r="L287" s="15" t="s">
        <v>20</v>
      </c>
      <c r="M287" s="16"/>
      <c r="N287" s="44"/>
      <c r="O287" s="17"/>
      <c r="P287" s="21">
        <v>46197</v>
      </c>
      <c r="Q287" s="43">
        <f t="shared" si="26"/>
        <v>2</v>
      </c>
      <c r="R287" s="22">
        <v>46157</v>
      </c>
      <c r="S287" s="26">
        <f t="shared" si="24"/>
        <v>2</v>
      </c>
      <c r="T287" s="29"/>
      <c r="U287" s="74">
        <f t="shared" si="25"/>
        <v>46198</v>
      </c>
    </row>
    <row r="288" spans="1:21" ht="11.25" hidden="1" customHeight="1" x14ac:dyDescent="0.2">
      <c r="A288" s="5" t="s">
        <v>58</v>
      </c>
      <c r="B288" s="5">
        <v>46206</v>
      </c>
      <c r="D288" s="6">
        <v>202606017</v>
      </c>
      <c r="E288" s="7" t="s">
        <v>463</v>
      </c>
      <c r="F288" s="7" t="s">
        <v>464</v>
      </c>
      <c r="G288" s="8" t="s">
        <v>19</v>
      </c>
      <c r="H288" s="9">
        <v>30</v>
      </c>
      <c r="I288" s="7" t="s">
        <v>101</v>
      </c>
      <c r="J288" s="13">
        <v>46179</v>
      </c>
      <c r="K288" s="14">
        <v>100994.24000000001</v>
      </c>
      <c r="L288" s="15" t="s">
        <v>20</v>
      </c>
      <c r="M288" s="16"/>
      <c r="N288" s="44"/>
      <c r="O288" s="17"/>
      <c r="P288" s="21">
        <v>46216</v>
      </c>
      <c r="Q288" s="43">
        <f t="shared" si="26"/>
        <v>10</v>
      </c>
      <c r="R288" s="22">
        <v>46193</v>
      </c>
      <c r="S288" s="26">
        <f t="shared" si="24"/>
        <v>10</v>
      </c>
      <c r="T288" s="29"/>
      <c r="U288" s="74">
        <f t="shared" si="25"/>
        <v>46218</v>
      </c>
    </row>
    <row r="289" spans="1:21" ht="14.25" customHeight="1" x14ac:dyDescent="0.2">
      <c r="A289" s="5" t="s">
        <v>58</v>
      </c>
      <c r="B289" s="5">
        <v>46273</v>
      </c>
      <c r="D289" s="6">
        <v>202607047</v>
      </c>
      <c r="E289" s="7" t="s">
        <v>69</v>
      </c>
      <c r="F289" s="7" t="s">
        <v>536</v>
      </c>
      <c r="G289" s="8" t="s">
        <v>22</v>
      </c>
      <c r="H289" s="9">
        <v>45</v>
      </c>
      <c r="I289" s="7" t="s">
        <v>52</v>
      </c>
      <c r="J289" s="13">
        <v>46229</v>
      </c>
      <c r="K289" s="14">
        <v>64181.25</v>
      </c>
      <c r="L289" s="15" t="s">
        <v>20</v>
      </c>
      <c r="N289" s="14">
        <v>20000</v>
      </c>
      <c r="O289" s="7" t="s">
        <v>578</v>
      </c>
      <c r="Q289" s="43" t="str">
        <f t="shared" si="26"/>
        <v>En attente paiement</v>
      </c>
      <c r="R289" s="22">
        <v>46251</v>
      </c>
      <c r="S289" s="26">
        <f t="shared" si="24"/>
        <v>63</v>
      </c>
      <c r="T289" s="29" t="str" cm="1">
        <f t="array" aca="1" ref="T289" ca="1">IFERROR(ROUND(CENTILE.SI.ENS($Q$2:$Q$2202,0.5,$E$2:$E$2202,E289,$Q$2:$Q$2202,"&gt;0"),0),"N/D")</f>
        <v>N/D</v>
      </c>
      <c r="U289" s="74">
        <f t="shared" si="25"/>
        <v>46349</v>
      </c>
    </row>
    <row r="290" spans="1:21" ht="11.25" hidden="1" customHeight="1" x14ac:dyDescent="0.2">
      <c r="A290" s="5" t="s">
        <v>58</v>
      </c>
      <c r="B290" s="5">
        <v>46063</v>
      </c>
      <c r="D290" s="6">
        <v>202602016</v>
      </c>
      <c r="E290" s="7" t="s">
        <v>62</v>
      </c>
      <c r="F290" s="7" t="s">
        <v>202</v>
      </c>
      <c r="G290" s="13" t="s">
        <v>22</v>
      </c>
      <c r="H290" s="34" t="s">
        <v>78</v>
      </c>
      <c r="I290" s="7" t="s">
        <v>66</v>
      </c>
      <c r="J290" s="13">
        <v>45965</v>
      </c>
      <c r="K290" s="14">
        <v>4871.32</v>
      </c>
      <c r="L290" s="15" t="s">
        <v>20</v>
      </c>
      <c r="N290" s="44"/>
      <c r="O290" s="7" t="s">
        <v>207</v>
      </c>
      <c r="P290" s="32">
        <v>46119</v>
      </c>
      <c r="Q290" s="43">
        <f t="shared" si="26"/>
        <v>56</v>
      </c>
      <c r="R290" s="22" t="s">
        <v>99</v>
      </c>
      <c r="S290" s="26">
        <f t="shared" si="24"/>
        <v>49</v>
      </c>
      <c r="T290" s="29" t="str" cm="1">
        <f t="array" aca="1" ref="T290" ca="1">IFERROR(ROUND(CENTILE.SI.ENS($Q$2:$Q$2202,0.5,$E$2:$E$2202,E290,$Q$2:$Q$2202,"&gt;0"),0),"N/D")</f>
        <v>N/D</v>
      </c>
      <c r="U290" s="74">
        <f t="shared" si="25"/>
        <v>46122</v>
      </c>
    </row>
    <row r="291" spans="1:21" ht="11.25" hidden="1" customHeight="1" x14ac:dyDescent="0.2">
      <c r="A291" s="5" t="s">
        <v>58</v>
      </c>
      <c r="B291" s="5">
        <v>46077</v>
      </c>
      <c r="D291" s="6">
        <v>202602045</v>
      </c>
      <c r="E291" s="7" t="s">
        <v>62</v>
      </c>
      <c r="F291" s="7" t="s">
        <v>342</v>
      </c>
      <c r="G291" s="13" t="s">
        <v>22</v>
      </c>
      <c r="H291" s="34" t="s">
        <v>78</v>
      </c>
      <c r="I291" s="10" t="s">
        <v>48</v>
      </c>
      <c r="J291" s="13">
        <v>46008</v>
      </c>
      <c r="K291" s="14">
        <v>1383.5</v>
      </c>
      <c r="L291" s="15" t="s">
        <v>20</v>
      </c>
      <c r="N291" s="44"/>
      <c r="O291" s="7" t="s">
        <v>207</v>
      </c>
      <c r="P291" s="32">
        <v>46119</v>
      </c>
      <c r="Q291" s="43">
        <f t="shared" si="26"/>
        <v>42</v>
      </c>
      <c r="R291" s="22" t="s">
        <v>99</v>
      </c>
      <c r="S291" s="26">
        <f t="shared" si="24"/>
        <v>49</v>
      </c>
      <c r="T291" s="29" t="str" cm="1">
        <f t="array" aca="1" ref="T291" ca="1">IFERROR(ROUND(CENTILE.SI.ENS($Q$2:$Q$2202,0.5,$E$2:$E$2202,E291,$Q$2:$Q$2202,"&gt;0"),0),"N/D")</f>
        <v>N/D</v>
      </c>
      <c r="U291" s="74">
        <f t="shared" si="25"/>
        <v>46136</v>
      </c>
    </row>
    <row r="292" spans="1:21" ht="11.25" hidden="1" customHeight="1" x14ac:dyDescent="0.2">
      <c r="A292" s="5" t="s">
        <v>100</v>
      </c>
      <c r="B292" s="5">
        <v>46143</v>
      </c>
      <c r="D292" s="6">
        <v>202604028</v>
      </c>
      <c r="E292" s="7" t="s">
        <v>371</v>
      </c>
      <c r="F292" s="7" t="s">
        <v>372</v>
      </c>
      <c r="G292" s="8" t="s">
        <v>19</v>
      </c>
      <c r="H292" s="9">
        <v>15</v>
      </c>
      <c r="I292" s="7" t="s">
        <v>101</v>
      </c>
      <c r="J292" s="13">
        <v>46129</v>
      </c>
      <c r="K292" s="14">
        <v>293525</v>
      </c>
      <c r="L292" s="15" t="s">
        <v>20</v>
      </c>
      <c r="N292" s="44"/>
      <c r="P292" s="21">
        <v>46146</v>
      </c>
      <c r="Q292" s="43">
        <f t="shared" si="26"/>
        <v>3</v>
      </c>
      <c r="R292" s="21">
        <v>46147</v>
      </c>
      <c r="S292" s="26">
        <f t="shared" si="24"/>
        <v>3</v>
      </c>
      <c r="T292" s="29"/>
      <c r="U292" s="74">
        <f t="shared" si="25"/>
        <v>46147</v>
      </c>
    </row>
    <row r="293" spans="1:21" ht="11.25" hidden="1" customHeight="1" x14ac:dyDescent="0.2">
      <c r="A293" s="35" t="s">
        <v>55</v>
      </c>
      <c r="B293" s="35">
        <v>46094</v>
      </c>
      <c r="C293" s="35"/>
      <c r="D293" s="36">
        <v>202601062</v>
      </c>
      <c r="E293" s="37" t="s">
        <v>106</v>
      </c>
      <c r="F293" s="37" t="s">
        <v>170</v>
      </c>
      <c r="G293" s="38" t="s">
        <v>22</v>
      </c>
      <c r="H293" s="39">
        <v>45</v>
      </c>
      <c r="I293" s="40" t="s">
        <v>171</v>
      </c>
      <c r="J293" s="38">
        <v>46051</v>
      </c>
      <c r="K293" s="41">
        <v>92888.17</v>
      </c>
      <c r="L293" s="42" t="s">
        <v>34</v>
      </c>
      <c r="M293" s="18">
        <v>46098</v>
      </c>
      <c r="N293" s="44">
        <v>92888.17</v>
      </c>
      <c r="P293" s="21">
        <v>46093</v>
      </c>
      <c r="Q293" s="43">
        <f t="shared" si="26"/>
        <v>-1</v>
      </c>
      <c r="R293" s="21">
        <v>46073</v>
      </c>
      <c r="S293" s="26">
        <f t="shared" si="24"/>
        <v>-1</v>
      </c>
      <c r="T293" s="29"/>
      <c r="U293" s="74">
        <f t="shared" si="25"/>
        <v>46093</v>
      </c>
    </row>
    <row r="294" spans="1:21" ht="11.25" hidden="1" customHeight="1" x14ac:dyDescent="0.2">
      <c r="A294" s="5" t="s">
        <v>55</v>
      </c>
      <c r="B294" s="5">
        <v>46157</v>
      </c>
      <c r="D294" s="6">
        <v>31</v>
      </c>
      <c r="E294" s="7" t="s">
        <v>106</v>
      </c>
      <c r="F294" s="7" t="s">
        <v>362</v>
      </c>
      <c r="G294" s="8" t="s">
        <v>22</v>
      </c>
      <c r="H294" s="9">
        <v>45</v>
      </c>
      <c r="I294" s="7" t="s">
        <v>309</v>
      </c>
      <c r="J294" s="13">
        <v>46113</v>
      </c>
      <c r="K294" s="14">
        <v>193792.4</v>
      </c>
      <c r="L294" s="15" t="s">
        <v>34</v>
      </c>
      <c r="N294" s="44"/>
      <c r="P294" s="21">
        <v>46157</v>
      </c>
      <c r="Q294" s="43">
        <f t="shared" si="26"/>
        <v>0</v>
      </c>
      <c r="R294" s="22">
        <v>46161</v>
      </c>
      <c r="S294" s="26">
        <f t="shared" si="24"/>
        <v>-1</v>
      </c>
      <c r="T294" s="29" t="str" cm="1">
        <f t="array" aca="1" ref="T294" ca="1">IFERROR(ROUND(CENTILE.SI.ENS($Q$2:$Q$2202,0.5,$E$2:$E$2202,E294,$Q$2:$Q$2202,"&gt;0"),0),"N/D")</f>
        <v>N/D</v>
      </c>
      <c r="U294" s="74">
        <f t="shared" si="25"/>
        <v>46156</v>
      </c>
    </row>
    <row r="295" spans="1:21" ht="11.25" hidden="1" customHeight="1" x14ac:dyDescent="0.2">
      <c r="A295" s="5" t="s">
        <v>55</v>
      </c>
      <c r="B295" s="5">
        <v>46185</v>
      </c>
      <c r="D295" s="6">
        <v>202604045</v>
      </c>
      <c r="E295" s="7" t="s">
        <v>106</v>
      </c>
      <c r="F295" s="7" t="s">
        <v>362</v>
      </c>
      <c r="G295" s="8" t="s">
        <v>22</v>
      </c>
      <c r="H295" s="9">
        <v>45</v>
      </c>
      <c r="I295" s="7" t="s">
        <v>405</v>
      </c>
      <c r="J295" s="13">
        <v>46141</v>
      </c>
      <c r="K295" s="14">
        <v>121315.4</v>
      </c>
      <c r="L295" s="15" t="s">
        <v>34</v>
      </c>
      <c r="M295" s="16"/>
      <c r="N295" s="44"/>
      <c r="O295" s="17"/>
      <c r="P295" s="21">
        <v>46184</v>
      </c>
      <c r="Q295" s="43">
        <f t="shared" si="26"/>
        <v>-1</v>
      </c>
      <c r="R295" s="22">
        <v>46161</v>
      </c>
      <c r="S295" s="26">
        <f t="shared" si="24"/>
        <v>-1</v>
      </c>
      <c r="T295" s="29" t="str" cm="1">
        <f t="array" aca="1" ref="T295" ca="1">IFERROR(ROUND(CENTILE.SI.ENS($Q$2:$Q$2202,0.5,$E$2:$E$2202,E295,$Q$2:$Q$2202,"&gt;0"),0),"N/D")</f>
        <v>N/D</v>
      </c>
      <c r="U295" s="74">
        <f t="shared" si="25"/>
        <v>46184</v>
      </c>
    </row>
    <row r="296" spans="1:21" ht="14.25" customHeight="1" x14ac:dyDescent="0.2">
      <c r="A296" s="5" t="s">
        <v>55</v>
      </c>
      <c r="B296" s="5">
        <v>46274</v>
      </c>
      <c r="D296" s="6">
        <v>202607055</v>
      </c>
      <c r="E296" s="7" t="s">
        <v>36</v>
      </c>
      <c r="F296" s="7" t="s">
        <v>293</v>
      </c>
      <c r="G296" s="8" t="s">
        <v>22</v>
      </c>
      <c r="H296" s="9">
        <v>45</v>
      </c>
      <c r="I296" s="7" t="s">
        <v>548</v>
      </c>
      <c r="J296" s="13">
        <v>46230</v>
      </c>
      <c r="K296" s="14">
        <v>59328.51</v>
      </c>
      <c r="L296" s="15" t="s">
        <v>34</v>
      </c>
      <c r="Q296" s="43" t="str">
        <f t="shared" si="26"/>
        <v>En attente paiement</v>
      </c>
      <c r="R296" s="22">
        <v>46251</v>
      </c>
      <c r="S296" s="26">
        <f t="shared" si="24"/>
        <v>22</v>
      </c>
      <c r="T296" s="29" t="str" cm="1">
        <f t="array" aca="1" ref="T296" ca="1">IFERROR(ROUND(CENTILE.SI.ENS($Q$2:$Q$2202,0.5,$E$2:$E$2202,E296,$Q$2:$Q$2202,"&gt;0"),0),"N/D")</f>
        <v>N/D</v>
      </c>
      <c r="U296" s="74">
        <f t="shared" si="25"/>
        <v>46301</v>
      </c>
    </row>
    <row r="297" spans="1:21" ht="11.25" hidden="1" customHeight="1" x14ac:dyDescent="0.2">
      <c r="A297" s="35" t="s">
        <v>100</v>
      </c>
      <c r="B297" s="35">
        <v>46066</v>
      </c>
      <c r="C297" s="35"/>
      <c r="D297" s="36">
        <v>202602001</v>
      </c>
      <c r="E297" s="37" t="s">
        <v>167</v>
      </c>
      <c r="F297" s="37" t="s">
        <v>168</v>
      </c>
      <c r="G297" s="38" t="s">
        <v>22</v>
      </c>
      <c r="H297" s="39">
        <v>14</v>
      </c>
      <c r="I297" s="40" t="s">
        <v>169</v>
      </c>
      <c r="J297" s="38">
        <v>46054</v>
      </c>
      <c r="K297" s="44">
        <v>70474.12</v>
      </c>
      <c r="L297" s="42" t="s">
        <v>20</v>
      </c>
      <c r="N297" s="44">
        <v>70474.12</v>
      </c>
      <c r="P297" s="21">
        <v>46063</v>
      </c>
      <c r="Q297" s="43">
        <f t="shared" si="26"/>
        <v>-3</v>
      </c>
      <c r="R297" s="21">
        <v>46066</v>
      </c>
      <c r="S297" s="26">
        <f t="shared" si="24"/>
        <v>-1</v>
      </c>
      <c r="T297" s="29" t="str" cm="1">
        <f t="array" aca="1" ref="T297" ca="1">IFERROR(ROUND(CENTILE.SI.ENS($Q$2:$Q$2202,0.5,$E$2:$E$2202,E297,$Q$2:$Q$2202,"&gt;0"),0),"N/D")</f>
        <v>N/D</v>
      </c>
      <c r="U297" s="74">
        <f t="shared" si="25"/>
        <v>46064</v>
      </c>
    </row>
    <row r="298" spans="1:21" ht="11.25" hidden="1" customHeight="1" x14ac:dyDescent="0.2">
      <c r="A298" s="35" t="s">
        <v>100</v>
      </c>
      <c r="B298" s="35">
        <v>46066</v>
      </c>
      <c r="C298" s="35"/>
      <c r="D298" s="36">
        <v>202602002</v>
      </c>
      <c r="E298" s="37" t="s">
        <v>167</v>
      </c>
      <c r="F298" s="37" t="s">
        <v>181</v>
      </c>
      <c r="G298" s="38" t="s">
        <v>22</v>
      </c>
      <c r="H298" s="39">
        <v>14</v>
      </c>
      <c r="I298" s="40" t="s">
        <v>103</v>
      </c>
      <c r="J298" s="38">
        <v>46054</v>
      </c>
      <c r="K298" s="44">
        <v>88440</v>
      </c>
      <c r="L298" s="42" t="s">
        <v>20</v>
      </c>
      <c r="N298" s="44">
        <v>88440</v>
      </c>
      <c r="P298" s="21">
        <v>46065</v>
      </c>
      <c r="Q298" s="43">
        <f t="shared" si="26"/>
        <v>-1</v>
      </c>
      <c r="R298" s="21">
        <v>46069</v>
      </c>
      <c r="S298" s="26">
        <f t="shared" si="24"/>
        <v>-1</v>
      </c>
      <c r="T298" s="29" t="str" cm="1">
        <f t="array" aca="1" ref="T298" ca="1">IFERROR(ROUND(CENTILE.SI.ENS($Q$2:$Q$2202,0.5,$E$2:$E$2202,E298,$Q$2:$Q$2202,"&gt;0"),0),"N/D")</f>
        <v>N/D</v>
      </c>
      <c r="U298" s="74">
        <f t="shared" si="25"/>
        <v>46064</v>
      </c>
    </row>
    <row r="299" spans="1:21" ht="11.25" hidden="1" customHeight="1" x14ac:dyDescent="0.2">
      <c r="A299" s="35" t="s">
        <v>100</v>
      </c>
      <c r="B299" s="35">
        <v>46069</v>
      </c>
      <c r="C299" s="35"/>
      <c r="D299" s="36">
        <v>202602009</v>
      </c>
      <c r="E299" s="37" t="s">
        <v>167</v>
      </c>
      <c r="F299" s="37" t="s">
        <v>190</v>
      </c>
      <c r="G299" s="38" t="s">
        <v>22</v>
      </c>
      <c r="H299" s="39">
        <v>14</v>
      </c>
      <c r="I299" s="40" t="s">
        <v>104</v>
      </c>
      <c r="J299" s="38">
        <v>46056</v>
      </c>
      <c r="K299" s="44">
        <v>107450.36</v>
      </c>
      <c r="L299" s="42" t="s">
        <v>20</v>
      </c>
      <c r="N299" s="44">
        <v>107450.36</v>
      </c>
      <c r="P299" s="21">
        <v>46066</v>
      </c>
      <c r="Q299" s="43">
        <f t="shared" si="26"/>
        <v>-3</v>
      </c>
      <c r="R299" s="21">
        <v>46084</v>
      </c>
      <c r="S299" s="26">
        <f t="shared" si="24"/>
        <v>-1</v>
      </c>
      <c r="T299" s="29" t="str" cm="1">
        <f t="array" aca="1" ref="T299" ca="1">IFERROR(ROUND(CENTILE.SI.ENS($Q$2:$Q$2202,0.5,$E$2:$E$2202,E299,$Q$2:$Q$2202,"&gt;0"),0),"N/D")</f>
        <v>N/D</v>
      </c>
      <c r="U299" s="74">
        <f t="shared" si="25"/>
        <v>46067</v>
      </c>
    </row>
    <row r="300" spans="1:21" ht="11.25" hidden="1" customHeight="1" x14ac:dyDescent="0.2">
      <c r="A300" s="35" t="s">
        <v>100</v>
      </c>
      <c r="B300" s="35">
        <v>46098</v>
      </c>
      <c r="C300" s="35"/>
      <c r="D300" s="36">
        <v>202603003</v>
      </c>
      <c r="E300" s="37" t="s">
        <v>167</v>
      </c>
      <c r="F300" s="37" t="s">
        <v>256</v>
      </c>
      <c r="G300" s="38" t="s">
        <v>65</v>
      </c>
      <c r="H300" s="39">
        <v>14</v>
      </c>
      <c r="I300" s="40" t="s">
        <v>50</v>
      </c>
      <c r="J300" s="38">
        <v>46085</v>
      </c>
      <c r="K300" s="41">
        <v>1110820.95</v>
      </c>
      <c r="L300" s="42" t="s">
        <v>20</v>
      </c>
      <c r="M300" s="18">
        <v>46120</v>
      </c>
      <c r="N300" s="44"/>
      <c r="O300" s="7" t="s">
        <v>305</v>
      </c>
      <c r="P300" s="21">
        <v>46106</v>
      </c>
      <c r="Q300" s="43">
        <f t="shared" si="26"/>
        <v>8</v>
      </c>
      <c r="R300" s="21">
        <v>46114</v>
      </c>
      <c r="S300" s="26">
        <f t="shared" si="24"/>
        <v>-1</v>
      </c>
      <c r="T300" s="29"/>
      <c r="U300" s="74">
        <f t="shared" si="25"/>
        <v>46096</v>
      </c>
    </row>
    <row r="301" spans="1:21" ht="11.25" hidden="1" customHeight="1" x14ac:dyDescent="0.2">
      <c r="A301" s="5" t="s">
        <v>100</v>
      </c>
      <c r="B301" s="5">
        <v>46183</v>
      </c>
      <c r="D301" s="6">
        <v>202605033</v>
      </c>
      <c r="E301" s="7" t="s">
        <v>167</v>
      </c>
      <c r="F301" s="7" t="s">
        <v>190</v>
      </c>
      <c r="G301" s="8" t="s">
        <v>22</v>
      </c>
      <c r="H301" s="9">
        <v>14</v>
      </c>
      <c r="I301" s="7" t="s">
        <v>443</v>
      </c>
      <c r="J301" s="13">
        <v>46170</v>
      </c>
      <c r="K301" s="14">
        <v>421932.87</v>
      </c>
      <c r="L301" s="15" t="s">
        <v>20</v>
      </c>
      <c r="M301" s="16"/>
      <c r="N301" s="44"/>
      <c r="O301" s="17"/>
      <c r="P301" s="21">
        <v>46181</v>
      </c>
      <c r="Q301" s="43">
        <f t="shared" si="26"/>
        <v>-2</v>
      </c>
      <c r="R301" s="22">
        <v>46189</v>
      </c>
      <c r="S301" s="26">
        <f t="shared" si="24"/>
        <v>-1</v>
      </c>
      <c r="T301" s="29" t="str" cm="1">
        <f t="array" aca="1" ref="T301" ca="1">IFERROR(ROUND(CENTILE.SI.ENS($Q$2:$Q$2202,0.5,$E$2:$E$2202,E301,$Q$2:$Q$2202,"&gt;0"),0),"N/D")</f>
        <v>N/D</v>
      </c>
      <c r="U301" s="74">
        <f t="shared" si="25"/>
        <v>46181</v>
      </c>
    </row>
    <row r="302" spans="1:21" ht="11.25" hidden="1" customHeight="1" x14ac:dyDescent="0.25">
      <c r="A302" s="5" t="s">
        <v>55</v>
      </c>
      <c r="B302" s="5">
        <v>46213</v>
      </c>
      <c r="D302" s="6">
        <v>202606043</v>
      </c>
      <c r="E302" s="7" t="s">
        <v>167</v>
      </c>
      <c r="F302" s="7" t="s">
        <v>168</v>
      </c>
      <c r="G302" s="8" t="s">
        <v>65</v>
      </c>
      <c r="H302" s="9">
        <v>14</v>
      </c>
      <c r="I302" s="7" t="s">
        <v>21</v>
      </c>
      <c r="J302" s="13">
        <v>46202</v>
      </c>
      <c r="K302" s="14">
        <v>62217</v>
      </c>
      <c r="L302" s="15" t="s">
        <v>20</v>
      </c>
      <c r="M302" s="46"/>
      <c r="N302" s="44"/>
      <c r="O302" s="17"/>
      <c r="P302" s="21">
        <v>46209</v>
      </c>
      <c r="Q302" s="43">
        <f t="shared" si="26"/>
        <v>-4</v>
      </c>
      <c r="R302" s="22">
        <v>46223</v>
      </c>
      <c r="S302" s="26">
        <f t="shared" si="24"/>
        <v>-1</v>
      </c>
      <c r="T302" s="29" t="str" cm="1">
        <f t="array" aca="1" ref="T302" ca="1">IFERROR(ROUND(CENTILE.SI.ENS($Q$2:$Q$2202,0.5,$E$2:$E$2202,E302,$Q$2:$Q$2202,"&gt;0"),0),"N/D")</f>
        <v>N/D</v>
      </c>
      <c r="U302" s="74">
        <f t="shared" si="25"/>
        <v>46211</v>
      </c>
    </row>
    <row r="303" spans="1:21" ht="11.25" hidden="1" customHeight="1" x14ac:dyDescent="0.25">
      <c r="A303" s="5" t="s">
        <v>100</v>
      </c>
      <c r="B303" s="5">
        <v>46219</v>
      </c>
      <c r="D303" s="6">
        <v>202607003</v>
      </c>
      <c r="E303" s="7" t="s">
        <v>167</v>
      </c>
      <c r="F303" s="7" t="s">
        <v>495</v>
      </c>
      <c r="G303" s="8" t="s">
        <v>65</v>
      </c>
      <c r="H303" s="9">
        <v>14</v>
      </c>
      <c r="I303" s="7" t="s">
        <v>21</v>
      </c>
      <c r="J303" s="13">
        <v>46206</v>
      </c>
      <c r="K303" s="14">
        <v>118482</v>
      </c>
      <c r="L303" s="15" t="s">
        <v>20</v>
      </c>
      <c r="M303" s="46"/>
      <c r="N303" s="44"/>
      <c r="O303" s="17"/>
      <c r="P303" s="21">
        <v>46218</v>
      </c>
      <c r="Q303" s="43">
        <f t="shared" si="26"/>
        <v>-1</v>
      </c>
      <c r="R303" s="22">
        <v>46226</v>
      </c>
      <c r="S303" s="26">
        <f t="shared" si="24"/>
        <v>-1</v>
      </c>
      <c r="T303" s="29" t="str" cm="1">
        <f t="array" aca="1" ref="T303" ca="1">IFERROR(ROUND(CENTILE.SI.ENS($Q$2:$Q$2202,0.5,$E$2:$E$2202,E303,$Q$2:$Q$2202,"&gt;0"),0),"N/D")</f>
        <v>N/D</v>
      </c>
      <c r="U303" s="74">
        <f t="shared" si="25"/>
        <v>46217</v>
      </c>
    </row>
    <row r="304" spans="1:21" ht="11.25" hidden="1" customHeight="1" x14ac:dyDescent="0.2">
      <c r="A304" s="35" t="s">
        <v>55</v>
      </c>
      <c r="B304" s="35">
        <v>46066</v>
      </c>
      <c r="C304" s="35"/>
      <c r="D304" s="36">
        <v>202601019</v>
      </c>
      <c r="E304" s="37" t="s">
        <v>38</v>
      </c>
      <c r="F304" s="37" t="s">
        <v>112</v>
      </c>
      <c r="G304" s="38" t="s">
        <v>19</v>
      </c>
      <c r="H304" s="39">
        <v>30</v>
      </c>
      <c r="I304" s="40" t="s">
        <v>113</v>
      </c>
      <c r="J304" s="38">
        <v>46037</v>
      </c>
      <c r="K304" s="41">
        <v>77366.03</v>
      </c>
      <c r="L304" s="42" t="s">
        <v>20</v>
      </c>
      <c r="M304" s="18">
        <v>46080</v>
      </c>
      <c r="N304" s="44">
        <v>77366.03</v>
      </c>
      <c r="P304" s="21">
        <v>46076</v>
      </c>
      <c r="Q304" s="43">
        <f t="shared" si="26"/>
        <v>10</v>
      </c>
      <c r="R304" s="21">
        <v>46057</v>
      </c>
      <c r="S304" s="26"/>
      <c r="T304" s="29"/>
      <c r="U304" s="74"/>
    </row>
    <row r="305" spans="1:21" ht="11.25" hidden="1" customHeight="1" x14ac:dyDescent="0.2">
      <c r="A305" s="35" t="s">
        <v>55</v>
      </c>
      <c r="B305" s="35">
        <v>46072</v>
      </c>
      <c r="C305" s="35"/>
      <c r="D305" s="36">
        <v>6</v>
      </c>
      <c r="E305" s="37" t="s">
        <v>38</v>
      </c>
      <c r="F305" s="37" t="s">
        <v>39</v>
      </c>
      <c r="G305" s="38" t="s">
        <v>65</v>
      </c>
      <c r="H305" s="39">
        <v>30</v>
      </c>
      <c r="I305" s="40" t="s">
        <v>142</v>
      </c>
      <c r="J305" s="38">
        <v>46043</v>
      </c>
      <c r="K305" s="44">
        <v>26338.18</v>
      </c>
      <c r="L305" s="42" t="s">
        <v>34</v>
      </c>
      <c r="N305" s="44">
        <v>26338.18</v>
      </c>
      <c r="P305" s="21">
        <v>46073</v>
      </c>
      <c r="Q305" s="43">
        <f t="shared" si="26"/>
        <v>1</v>
      </c>
      <c r="R305" s="21">
        <v>46073</v>
      </c>
      <c r="S305" s="26">
        <f>IFERROR(ROUND(AVERAGEIF($E$2:$E$2202,E305,$Q$2:$Q$2202),0),"N/D")</f>
        <v>2</v>
      </c>
      <c r="T305" s="29" t="str" cm="1">
        <f t="array" aca="1" ref="T305" ca="1">IFERROR(ROUND(CENTILE.SI.ENS($Q$2:$Q$2202,0.5,$E$2:$E$2202,E305,$Q$2:$Q$2202,"&gt;0"),0),"N/D")</f>
        <v>N/D</v>
      </c>
      <c r="U305" s="74">
        <f t="shared" ref="U305:U352" si="27">IFERROR(B305+ROUNDUP(AVERAGEIF($E$2:$E$2202,E305,$Q$2:$Q$2202)*1.2,0),"N/D")</f>
        <v>46075</v>
      </c>
    </row>
    <row r="306" spans="1:21" ht="11.25" hidden="1" customHeight="1" x14ac:dyDescent="0.2">
      <c r="A306" s="5" t="s">
        <v>55</v>
      </c>
      <c r="B306" s="5">
        <v>46107</v>
      </c>
      <c r="D306" s="6">
        <v>18</v>
      </c>
      <c r="E306" s="7" t="s">
        <v>38</v>
      </c>
      <c r="F306" s="7" t="s">
        <v>39</v>
      </c>
      <c r="G306" s="8" t="s">
        <v>65</v>
      </c>
      <c r="H306" s="9">
        <v>30</v>
      </c>
      <c r="I306" s="7" t="s">
        <v>166</v>
      </c>
      <c r="J306" s="13">
        <v>46078</v>
      </c>
      <c r="K306" s="14">
        <v>78028.27</v>
      </c>
      <c r="L306" s="15" t="s">
        <v>34</v>
      </c>
      <c r="N306" s="44"/>
      <c r="P306" s="21">
        <v>46132</v>
      </c>
      <c r="Q306" s="43">
        <f t="shared" ref="Q306:Q316" si="28">IF(P306="","En attente paiement",P306-B306)</f>
        <v>25</v>
      </c>
      <c r="R306" s="22">
        <v>46119</v>
      </c>
      <c r="S306" s="26"/>
      <c r="T306" s="29"/>
      <c r="U306" s="74">
        <f t="shared" si="27"/>
        <v>46110</v>
      </c>
    </row>
    <row r="307" spans="1:21" ht="11.25" hidden="1" customHeight="1" x14ac:dyDescent="0.2">
      <c r="A307" s="5" t="s">
        <v>55</v>
      </c>
      <c r="B307" s="5">
        <v>46122</v>
      </c>
      <c r="D307" s="6">
        <v>20</v>
      </c>
      <c r="E307" s="7" t="s">
        <v>38</v>
      </c>
      <c r="F307" s="7" t="s">
        <v>39</v>
      </c>
      <c r="G307" s="8" t="s">
        <v>65</v>
      </c>
      <c r="H307" s="9">
        <v>30</v>
      </c>
      <c r="I307" s="10" t="s">
        <v>166</v>
      </c>
      <c r="J307" s="13">
        <v>46093</v>
      </c>
      <c r="K307" s="14">
        <v>72488.72</v>
      </c>
      <c r="L307" s="15" t="s">
        <v>34</v>
      </c>
      <c r="N307" s="44"/>
      <c r="P307" s="21">
        <v>46122</v>
      </c>
      <c r="Q307" s="43">
        <f t="shared" si="28"/>
        <v>0</v>
      </c>
      <c r="R307" s="22">
        <v>46125</v>
      </c>
      <c r="S307" s="26">
        <f t="shared" ref="S307:S352" si="29">IFERROR(ROUND(AVERAGEIF($E$2:$E$2202,E307,$Q$2:$Q$2202),0),"N/D")</f>
        <v>2</v>
      </c>
      <c r="T307" s="29"/>
      <c r="U307" s="74">
        <f t="shared" si="27"/>
        <v>46125</v>
      </c>
    </row>
    <row r="308" spans="1:21" ht="11.25" hidden="1" customHeight="1" x14ac:dyDescent="0.2">
      <c r="A308" s="5" t="s">
        <v>55</v>
      </c>
      <c r="B308" s="5">
        <v>46157</v>
      </c>
      <c r="D308" s="6">
        <v>33</v>
      </c>
      <c r="E308" s="7" t="s">
        <v>38</v>
      </c>
      <c r="F308" s="7" t="s">
        <v>39</v>
      </c>
      <c r="G308" s="8" t="s">
        <v>65</v>
      </c>
      <c r="H308" s="9">
        <v>30</v>
      </c>
      <c r="I308" s="7" t="s">
        <v>166</v>
      </c>
      <c r="J308" s="13">
        <v>46129</v>
      </c>
      <c r="K308" s="14">
        <v>133660.35</v>
      </c>
      <c r="L308" s="15" t="s">
        <v>34</v>
      </c>
      <c r="N308" s="44"/>
      <c r="P308" s="21">
        <v>46153</v>
      </c>
      <c r="Q308" s="43">
        <f t="shared" si="28"/>
        <v>-4</v>
      </c>
      <c r="R308" s="22">
        <v>46155</v>
      </c>
      <c r="S308" s="26">
        <f t="shared" si="29"/>
        <v>2</v>
      </c>
      <c r="T308" s="29" t="str" cm="1">
        <f t="array" aca="1" ref="T308" ca="1">IFERROR(ROUND(CENTILE.SI.ENS($Q$2:$Q$2202,0.5,$E$2:$E$2202,E308,$Q$2:$Q$2202,"&gt;0"),0),"N/D")</f>
        <v>N/D</v>
      </c>
      <c r="U308" s="74">
        <f t="shared" si="27"/>
        <v>46160</v>
      </c>
    </row>
    <row r="309" spans="1:21" ht="11.25" hidden="1" customHeight="1" x14ac:dyDescent="0.2">
      <c r="A309" s="5" t="s">
        <v>58</v>
      </c>
      <c r="B309" s="5">
        <v>46198</v>
      </c>
      <c r="D309" s="6">
        <v>202605030</v>
      </c>
      <c r="E309" s="7" t="s">
        <v>38</v>
      </c>
      <c r="F309" s="7" t="s">
        <v>441</v>
      </c>
      <c r="G309" s="8" t="s">
        <v>19</v>
      </c>
      <c r="H309" s="9">
        <v>30</v>
      </c>
      <c r="I309" s="7" t="s">
        <v>442</v>
      </c>
      <c r="J309" s="13">
        <v>46169</v>
      </c>
      <c r="K309" s="14">
        <v>36405.25</v>
      </c>
      <c r="L309" s="15" t="s">
        <v>20</v>
      </c>
      <c r="M309" s="16"/>
      <c r="N309" s="44"/>
      <c r="O309" s="17"/>
      <c r="P309" s="21">
        <v>46191</v>
      </c>
      <c r="Q309" s="43">
        <f t="shared" si="28"/>
        <v>-7</v>
      </c>
      <c r="R309" s="22">
        <v>46199</v>
      </c>
      <c r="S309" s="26">
        <f t="shared" si="29"/>
        <v>2</v>
      </c>
      <c r="T309" s="29" t="str" cm="1">
        <f t="array" aca="1" ref="T309" ca="1">IFERROR(ROUND(CENTILE.SI.ENS($Q$2:$Q$2202,0.5,$E$2:$E$2202,E309,$Q$2:$Q$2202,"&gt;0"),0),"N/D")</f>
        <v>N/D</v>
      </c>
      <c r="U309" s="74">
        <f t="shared" si="27"/>
        <v>46201</v>
      </c>
    </row>
    <row r="310" spans="1:21" ht="11.25" hidden="1" customHeight="1" x14ac:dyDescent="0.2">
      <c r="A310" s="5" t="s">
        <v>55</v>
      </c>
      <c r="B310" s="5">
        <v>46199</v>
      </c>
      <c r="D310" s="6">
        <v>38</v>
      </c>
      <c r="E310" s="7" t="s">
        <v>38</v>
      </c>
      <c r="F310" s="7" t="s">
        <v>448</v>
      </c>
      <c r="G310" s="8" t="s">
        <v>65</v>
      </c>
      <c r="H310" s="9">
        <v>30</v>
      </c>
      <c r="I310" s="7" t="s">
        <v>37</v>
      </c>
      <c r="J310" s="13">
        <v>46170</v>
      </c>
      <c r="K310" s="14">
        <v>45861.06</v>
      </c>
      <c r="L310" s="15" t="s">
        <v>34</v>
      </c>
      <c r="M310" s="16"/>
      <c r="N310" s="44"/>
      <c r="O310" s="17"/>
      <c r="P310" s="21">
        <v>46196</v>
      </c>
      <c r="Q310" s="43">
        <f t="shared" si="28"/>
        <v>-3</v>
      </c>
      <c r="R310" s="22">
        <v>46199</v>
      </c>
      <c r="S310" s="26">
        <f t="shared" si="29"/>
        <v>2</v>
      </c>
      <c r="T310" s="29" t="str" cm="1">
        <f t="array" aca="1" ref="T310" ca="1">IFERROR(ROUND(CENTILE.SI.ENS($Q$2:$Q$2202,0.5,$E$2:$E$2202,E310,$Q$2:$Q$2202,"&gt;0"),0),"N/D")</f>
        <v>N/D</v>
      </c>
      <c r="U310" s="74">
        <f t="shared" si="27"/>
        <v>46202</v>
      </c>
    </row>
    <row r="311" spans="1:21" ht="11.25" hidden="1" customHeight="1" x14ac:dyDescent="0.25">
      <c r="A311" s="5" t="s">
        <v>55</v>
      </c>
      <c r="B311" s="5">
        <v>46220</v>
      </c>
      <c r="D311" s="6">
        <v>202606032</v>
      </c>
      <c r="E311" s="7" t="s">
        <v>38</v>
      </c>
      <c r="F311" s="7" t="s">
        <v>478</v>
      </c>
      <c r="G311" s="8" t="s">
        <v>65</v>
      </c>
      <c r="H311" s="9">
        <v>30</v>
      </c>
      <c r="I311" s="7" t="s">
        <v>228</v>
      </c>
      <c r="J311" s="13">
        <v>46193</v>
      </c>
      <c r="K311" s="14">
        <v>24717.45</v>
      </c>
      <c r="L311" s="15" t="s">
        <v>34</v>
      </c>
      <c r="M311" s="46"/>
      <c r="N311" s="44"/>
      <c r="O311" s="17"/>
      <c r="P311" s="21">
        <v>46224</v>
      </c>
      <c r="Q311" s="43">
        <f t="shared" si="28"/>
        <v>4</v>
      </c>
      <c r="R311" s="22">
        <v>46223</v>
      </c>
      <c r="S311" s="26">
        <f t="shared" si="29"/>
        <v>2</v>
      </c>
      <c r="T311" s="29" t="str" cm="1">
        <f t="array" aca="1" ref="T311" ca="1">IFERROR(ROUND(CENTILE.SI.ENS($Q$2:$Q$2202,0.5,$E$2:$E$2202,E311,$Q$2:$Q$2202,"&gt;0"),0),"N/D")</f>
        <v>N/D</v>
      </c>
      <c r="U311" s="74">
        <f t="shared" si="27"/>
        <v>46223</v>
      </c>
    </row>
    <row r="312" spans="1:21" ht="11.25" hidden="1" customHeight="1" x14ac:dyDescent="0.25">
      <c r="A312" s="5" t="s">
        <v>55</v>
      </c>
      <c r="B312" s="5">
        <v>46220</v>
      </c>
      <c r="D312" s="6">
        <v>44</v>
      </c>
      <c r="E312" s="7" t="s">
        <v>38</v>
      </c>
      <c r="F312" s="7" t="s">
        <v>448</v>
      </c>
      <c r="G312" s="8" t="s">
        <v>65</v>
      </c>
      <c r="H312" s="9">
        <v>30</v>
      </c>
      <c r="I312" s="7" t="s">
        <v>37</v>
      </c>
      <c r="J312" s="13">
        <v>46192</v>
      </c>
      <c r="K312" s="14">
        <v>34300.910000000003</v>
      </c>
      <c r="L312" s="15" t="s">
        <v>34</v>
      </c>
      <c r="M312" s="46"/>
      <c r="N312" s="44"/>
      <c r="O312" s="17"/>
      <c r="P312" s="21">
        <v>46210</v>
      </c>
      <c r="Q312" s="43">
        <f t="shared" si="28"/>
        <v>-10</v>
      </c>
      <c r="R312" s="22">
        <v>46223</v>
      </c>
      <c r="S312" s="26">
        <f t="shared" si="29"/>
        <v>2</v>
      </c>
      <c r="T312" s="29" t="str" cm="1">
        <f t="array" aca="1" ref="T312" ca="1">IFERROR(ROUND(CENTILE.SI.ENS($Q$2:$Q$2202,0.5,$E$2:$E$2202,E312,$Q$2:$Q$2202,"&gt;0"),0),"N/D")</f>
        <v>N/D</v>
      </c>
      <c r="U312" s="74">
        <f t="shared" si="27"/>
        <v>46223</v>
      </c>
    </row>
    <row r="313" spans="1:21" ht="11.25" hidden="1" customHeight="1" x14ac:dyDescent="0.2">
      <c r="A313" s="5" t="s">
        <v>55</v>
      </c>
      <c r="B313" s="5">
        <v>46234</v>
      </c>
      <c r="D313" s="6">
        <v>202607001</v>
      </c>
      <c r="E313" s="7" t="s">
        <v>38</v>
      </c>
      <c r="F313" s="7" t="s">
        <v>114</v>
      </c>
      <c r="G313" s="8" t="s">
        <v>19</v>
      </c>
      <c r="H313" s="9">
        <v>30</v>
      </c>
      <c r="I313" s="7" t="s">
        <v>113</v>
      </c>
      <c r="J313" s="13">
        <v>46206</v>
      </c>
      <c r="K313" s="24">
        <v>119561.26</v>
      </c>
      <c r="L313" s="15" t="s">
        <v>20</v>
      </c>
      <c r="M313" s="16">
        <v>46248</v>
      </c>
      <c r="N313" s="44"/>
      <c r="O313" s="17"/>
      <c r="P313" s="21">
        <v>46233</v>
      </c>
      <c r="Q313" s="43">
        <f t="shared" si="28"/>
        <v>-1</v>
      </c>
      <c r="R313" s="22">
        <v>46211</v>
      </c>
      <c r="S313" s="26">
        <f t="shared" si="29"/>
        <v>2</v>
      </c>
      <c r="T313" s="29" t="str" cm="1">
        <f t="array" aca="1" ref="T313" ca="1">IFERROR(ROUND(CENTILE.SI.ENS($Q$2:$Q$2202,0.5,$E$2:$E$2202,E313,$Q$2:$Q$2202,"&gt;0"),0),"N/D")</f>
        <v>N/D</v>
      </c>
      <c r="U313" s="74">
        <f t="shared" si="27"/>
        <v>46237</v>
      </c>
    </row>
    <row r="314" spans="1:21" ht="11.25" hidden="1" customHeight="1" x14ac:dyDescent="0.2">
      <c r="A314" s="5" t="s">
        <v>55</v>
      </c>
      <c r="B314" s="5">
        <v>46239</v>
      </c>
      <c r="D314" s="6">
        <v>48</v>
      </c>
      <c r="E314" s="7" t="s">
        <v>38</v>
      </c>
      <c r="F314" s="7" t="s">
        <v>441</v>
      </c>
      <c r="G314" s="8" t="s">
        <v>65</v>
      </c>
      <c r="H314" s="9">
        <v>30</v>
      </c>
      <c r="I314" s="7" t="s">
        <v>502</v>
      </c>
      <c r="J314" s="13">
        <v>46210</v>
      </c>
      <c r="K314" s="14">
        <v>42391.82</v>
      </c>
      <c r="L314" s="15" t="s">
        <v>34</v>
      </c>
      <c r="M314" s="16"/>
      <c r="N314" s="44"/>
      <c r="O314" s="17"/>
      <c r="P314" s="21">
        <v>46241</v>
      </c>
      <c r="Q314" s="43">
        <f t="shared" si="28"/>
        <v>2</v>
      </c>
      <c r="R314" s="22">
        <v>46240</v>
      </c>
      <c r="S314" s="26">
        <f t="shared" si="29"/>
        <v>2</v>
      </c>
      <c r="T314" s="29" t="str" cm="1">
        <f t="array" aca="1" ref="T314" ca="1">IFERROR(ROUND(CENTILE.SI.ENS($Q$2:$Q$2202,0.5,$E$2:$E$2202,E314,$Q$2:$Q$2202,"&gt;0"),0),"N/D")</f>
        <v>N/D</v>
      </c>
      <c r="U314" s="74">
        <f t="shared" si="27"/>
        <v>46242</v>
      </c>
    </row>
    <row r="315" spans="1:21" ht="11.25" hidden="1" customHeight="1" x14ac:dyDescent="0.2">
      <c r="A315" s="5" t="s">
        <v>55</v>
      </c>
      <c r="B315" s="5">
        <v>46244</v>
      </c>
      <c r="D315" s="6">
        <v>202607019</v>
      </c>
      <c r="E315" s="7" t="s">
        <v>38</v>
      </c>
      <c r="F315" s="7" t="s">
        <v>506</v>
      </c>
      <c r="G315" s="8" t="s">
        <v>19</v>
      </c>
      <c r="H315" s="9">
        <v>30</v>
      </c>
      <c r="I315" s="7" t="s">
        <v>279</v>
      </c>
      <c r="J315" s="13">
        <v>46215</v>
      </c>
      <c r="K315" s="14">
        <v>47400</v>
      </c>
      <c r="L315" s="15" t="s">
        <v>20</v>
      </c>
      <c r="M315" s="16"/>
      <c r="N315" s="44"/>
      <c r="O315" s="17"/>
      <c r="P315" s="21">
        <v>46244</v>
      </c>
      <c r="Q315" s="43">
        <f t="shared" si="28"/>
        <v>0</v>
      </c>
      <c r="R315" s="22">
        <v>46230</v>
      </c>
      <c r="S315" s="26">
        <f t="shared" si="29"/>
        <v>2</v>
      </c>
      <c r="T315" s="29" t="str" cm="1">
        <f t="array" aca="1" ref="T315" ca="1">IFERROR(ROUND(CENTILE.SI.ENS($Q$2:$Q$2202,0.5,$E$2:$E$2202,E315,$Q$2:$Q$2202,"&gt;0"),0),"N/D")</f>
        <v>N/D</v>
      </c>
      <c r="U315" s="74">
        <f t="shared" si="27"/>
        <v>46247</v>
      </c>
    </row>
    <row r="316" spans="1:21" ht="11.25" hidden="1" customHeight="1" x14ac:dyDescent="0.2">
      <c r="A316" s="5" t="s">
        <v>55</v>
      </c>
      <c r="B316" s="5">
        <v>46251</v>
      </c>
      <c r="D316" s="6">
        <v>202607049</v>
      </c>
      <c r="E316" s="7" t="s">
        <v>38</v>
      </c>
      <c r="F316" s="7" t="s">
        <v>114</v>
      </c>
      <c r="G316" s="8" t="s">
        <v>65</v>
      </c>
      <c r="H316" s="9">
        <v>30</v>
      </c>
      <c r="I316" s="7" t="s">
        <v>50</v>
      </c>
      <c r="J316" s="13">
        <v>46222</v>
      </c>
      <c r="K316" s="14">
        <v>109743.81</v>
      </c>
      <c r="L316" s="15" t="s">
        <v>34</v>
      </c>
      <c r="M316" s="16"/>
      <c r="N316" s="44"/>
      <c r="O316" s="17"/>
      <c r="P316" s="21">
        <v>46258</v>
      </c>
      <c r="Q316" s="43">
        <f t="shared" si="28"/>
        <v>7</v>
      </c>
      <c r="R316" s="22">
        <v>46243</v>
      </c>
      <c r="S316" s="26">
        <f t="shared" si="29"/>
        <v>2</v>
      </c>
      <c r="T316" s="29" t="str" cm="1">
        <f t="array" aca="1" ref="T316" ca="1">IFERROR(ROUND(CENTILE.SI.ENS($Q$2:$Q$2202,0.5,$E$2:$E$2202,E316,$Q$2:$Q$2202,"&gt;0"),0),"N/D")</f>
        <v>N/D</v>
      </c>
      <c r="U316" s="74">
        <f t="shared" si="27"/>
        <v>46254</v>
      </c>
    </row>
    <row r="317" spans="1:21" ht="14.25" customHeight="1" x14ac:dyDescent="0.2">
      <c r="A317" s="5" t="s">
        <v>58</v>
      </c>
      <c r="B317" s="5">
        <v>46275</v>
      </c>
      <c r="D317" s="6">
        <v>202607052</v>
      </c>
      <c r="E317" s="7" t="s">
        <v>509</v>
      </c>
      <c r="F317" s="7" t="s">
        <v>543</v>
      </c>
      <c r="G317" s="8" t="s">
        <v>19</v>
      </c>
      <c r="H317" s="9">
        <v>60</v>
      </c>
      <c r="I317" s="7" t="s">
        <v>97</v>
      </c>
      <c r="J317" s="13">
        <v>46216</v>
      </c>
      <c r="K317" s="24">
        <v>281663.76</v>
      </c>
      <c r="L317" s="15" t="s">
        <v>20</v>
      </c>
      <c r="M317" s="18">
        <v>46262</v>
      </c>
      <c r="Q317" s="43" t="str">
        <f t="shared" ref="Q317:Q371" si="30">IF(P317="","En attente paiement",P317-B317)</f>
        <v>En attente paiement</v>
      </c>
      <c r="R317" s="22">
        <v>46245</v>
      </c>
      <c r="S317" s="26">
        <f t="shared" si="29"/>
        <v>0</v>
      </c>
      <c r="T317" s="29" t="str" cm="1">
        <f t="array" aca="1" ref="T317" ca="1">IFERROR(ROUND(CENTILE.SI.ENS($Q$2:$Q$2202,0.5,$E$2:$E$2202,E317,$Q$2:$Q$2202,"&gt;0"),0),"N/D")</f>
        <v>N/D</v>
      </c>
      <c r="U317" s="74">
        <f t="shared" si="27"/>
        <v>46275</v>
      </c>
    </row>
    <row r="318" spans="1:21" ht="11.25" hidden="1" customHeight="1" x14ac:dyDescent="0.2">
      <c r="A318" s="25" t="s">
        <v>44</v>
      </c>
      <c r="B318" s="25">
        <v>45974</v>
      </c>
      <c r="C318" s="25"/>
      <c r="D318" s="26">
        <v>202510045</v>
      </c>
      <c r="E318" s="27" t="s">
        <v>63</v>
      </c>
      <c r="F318" s="27" t="s">
        <v>64</v>
      </c>
      <c r="G318" s="28" t="s">
        <v>65</v>
      </c>
      <c r="H318" s="11">
        <v>15</v>
      </c>
      <c r="I318" s="29" t="s">
        <v>21</v>
      </c>
      <c r="J318" s="28">
        <v>45959</v>
      </c>
      <c r="K318" s="30">
        <v>16896</v>
      </c>
      <c r="L318" s="31" t="s">
        <v>20</v>
      </c>
      <c r="N318" s="44"/>
      <c r="P318" s="32">
        <v>46118</v>
      </c>
      <c r="Q318" s="43">
        <f t="shared" si="30"/>
        <v>144</v>
      </c>
      <c r="R318" s="22">
        <v>45988</v>
      </c>
      <c r="S318" s="26">
        <f t="shared" si="29"/>
        <v>141</v>
      </c>
      <c r="T318" s="29" t="str" cm="1">
        <f t="array" aca="1" ref="T318" ca="1">IFERROR(ROUND(CENTILE.SI.ENS($Q$2:$Q$2202,0.5,$E$2:$E$2202,E318,$Q$2:$Q$2202,"&gt;0"),0),"N/D")</f>
        <v>N/D</v>
      </c>
      <c r="U318" s="74">
        <f t="shared" si="27"/>
        <v>46143</v>
      </c>
    </row>
    <row r="319" spans="1:21" ht="11.25" hidden="1" customHeight="1" x14ac:dyDescent="0.2">
      <c r="A319" s="25" t="s">
        <v>44</v>
      </c>
      <c r="B319" s="25">
        <v>46003</v>
      </c>
      <c r="C319" s="25"/>
      <c r="D319" s="26">
        <v>202512016</v>
      </c>
      <c r="E319" s="27" t="s">
        <v>63</v>
      </c>
      <c r="F319" s="27" t="s">
        <v>64</v>
      </c>
      <c r="G319" s="28" t="s">
        <v>65</v>
      </c>
      <c r="H319" s="34" t="s">
        <v>78</v>
      </c>
      <c r="I319" s="27" t="s">
        <v>21</v>
      </c>
      <c r="J319" s="28">
        <v>45959</v>
      </c>
      <c r="K319" s="30">
        <v>337.92</v>
      </c>
      <c r="L319" s="31" t="s">
        <v>20</v>
      </c>
      <c r="N319" s="30"/>
      <c r="O319" s="7" t="s">
        <v>390</v>
      </c>
      <c r="P319" s="32">
        <v>46140</v>
      </c>
      <c r="Q319" s="43">
        <f t="shared" si="30"/>
        <v>137</v>
      </c>
      <c r="R319" s="22" t="s">
        <v>99</v>
      </c>
      <c r="S319" s="26">
        <f t="shared" si="29"/>
        <v>141</v>
      </c>
      <c r="T319" s="29" t="str" cm="1">
        <f t="array" aca="1" ref="T319" ca="1">IFERROR(ROUND(CENTILE.SI.ENS($Q$2:$Q$2202,0.5,$E$2:$E$2202,E319,$Q$2:$Q$2202,"&gt;0"),0),"N/D")</f>
        <v>N/D</v>
      </c>
      <c r="U319" s="74">
        <f t="shared" si="27"/>
        <v>46172</v>
      </c>
    </row>
    <row r="320" spans="1:21" ht="11.25" hidden="1" customHeight="1" x14ac:dyDescent="0.2">
      <c r="A320" s="5" t="s">
        <v>58</v>
      </c>
      <c r="B320" s="5">
        <v>46171</v>
      </c>
      <c r="D320" s="6">
        <v>202603043</v>
      </c>
      <c r="E320" s="7" t="s">
        <v>321</v>
      </c>
      <c r="F320" s="7" t="s">
        <v>323</v>
      </c>
      <c r="G320" s="8" t="s">
        <v>22</v>
      </c>
      <c r="H320" s="9">
        <v>60</v>
      </c>
      <c r="I320" s="7" t="s">
        <v>322</v>
      </c>
      <c r="J320" s="13">
        <v>46112</v>
      </c>
      <c r="K320" s="24">
        <v>216000</v>
      </c>
      <c r="L320" s="15" t="s">
        <v>20</v>
      </c>
      <c r="M320" s="18">
        <v>46175</v>
      </c>
      <c r="N320" s="44">
        <v>150000</v>
      </c>
      <c r="O320" s="7" t="s">
        <v>544</v>
      </c>
      <c r="P320" s="21">
        <v>46248</v>
      </c>
      <c r="Q320" s="43">
        <f t="shared" si="30"/>
        <v>77</v>
      </c>
      <c r="R320" s="22">
        <v>46142</v>
      </c>
      <c r="S320" s="26">
        <f t="shared" si="29"/>
        <v>77</v>
      </c>
      <c r="T320" s="29" t="str" cm="1">
        <f t="array" aca="1" ref="T320" ca="1">IFERROR(ROUND(CENTILE.SI.ENS($Q$2:$Q$2202,0.5,$E$2:$E$2202,E320,$Q$2:$Q$2202,"&gt;0"),0),"N/D")</f>
        <v>N/D</v>
      </c>
      <c r="U320" s="74">
        <f t="shared" si="27"/>
        <v>46264</v>
      </c>
    </row>
    <row r="321" spans="1:21" ht="11.25" hidden="1" customHeight="1" x14ac:dyDescent="0.2">
      <c r="A321" s="5" t="s">
        <v>58</v>
      </c>
      <c r="B321" s="5">
        <v>46155</v>
      </c>
      <c r="D321" s="6">
        <v>202603049</v>
      </c>
      <c r="E321" s="7" t="s">
        <v>73</v>
      </c>
      <c r="F321" s="7" t="s">
        <v>343</v>
      </c>
      <c r="G321" s="8" t="s">
        <v>22</v>
      </c>
      <c r="H321" s="9">
        <v>45</v>
      </c>
      <c r="I321" s="7" t="s">
        <v>344</v>
      </c>
      <c r="J321" s="13">
        <v>46111</v>
      </c>
      <c r="K321" s="24">
        <v>626552.19999999995</v>
      </c>
      <c r="L321" s="15" t="s">
        <v>20</v>
      </c>
      <c r="M321" s="18">
        <v>46175</v>
      </c>
      <c r="N321" s="44"/>
      <c r="O321" s="7" t="s">
        <v>432</v>
      </c>
      <c r="P321" s="21">
        <v>46161</v>
      </c>
      <c r="Q321" s="43">
        <f t="shared" si="30"/>
        <v>6</v>
      </c>
      <c r="R321" s="22">
        <v>46142</v>
      </c>
      <c r="S321" s="26">
        <f t="shared" si="29"/>
        <v>8</v>
      </c>
      <c r="T321" s="29" t="str" cm="1">
        <f t="array" aca="1" ref="T321" ca="1">IFERROR(ROUND(CENTILE.SI.ENS($Q$2:$Q$2202,0.5,$E$2:$E$2202,E321,$Q$2:$Q$2202,"&gt;0"),0),"N/D")</f>
        <v>N/D</v>
      </c>
      <c r="U321" s="74">
        <f t="shared" si="27"/>
        <v>46165</v>
      </c>
    </row>
    <row r="322" spans="1:21" ht="11.25" hidden="1" customHeight="1" x14ac:dyDescent="0.2">
      <c r="A322" s="35" t="s">
        <v>58</v>
      </c>
      <c r="B322" s="35">
        <v>46079</v>
      </c>
      <c r="C322" s="35"/>
      <c r="D322" s="36">
        <v>202601017</v>
      </c>
      <c r="E322" s="37" t="s">
        <v>73</v>
      </c>
      <c r="F322" s="37" t="s">
        <v>111</v>
      </c>
      <c r="G322" s="38" t="s">
        <v>22</v>
      </c>
      <c r="H322" s="39">
        <v>45</v>
      </c>
      <c r="I322" s="40" t="s">
        <v>43</v>
      </c>
      <c r="J322" s="38">
        <v>46035</v>
      </c>
      <c r="K322" s="41">
        <v>208953</v>
      </c>
      <c r="L322" s="42" t="s">
        <v>20</v>
      </c>
      <c r="M322" s="18">
        <v>46104</v>
      </c>
      <c r="N322" s="44"/>
      <c r="P322" s="21">
        <v>46092</v>
      </c>
      <c r="Q322" s="43">
        <f t="shared" si="30"/>
        <v>13</v>
      </c>
      <c r="R322" s="21">
        <v>46057</v>
      </c>
      <c r="S322" s="26">
        <f t="shared" si="29"/>
        <v>8</v>
      </c>
      <c r="T322" s="29" t="str" cm="1">
        <f t="array" aca="1" ref="T322" ca="1">IFERROR(ROUND(CENTILE.SI.ENS($Q$2:$Q$2202,0.5,$E$2:$E$2202,E322,$Q$2:$Q$2202,"&gt;0"),0),"N/D")</f>
        <v>N/D</v>
      </c>
      <c r="U322" s="74">
        <f t="shared" si="27"/>
        <v>46089</v>
      </c>
    </row>
    <row r="323" spans="1:21" ht="11.25" hidden="1" customHeight="1" x14ac:dyDescent="0.2">
      <c r="A323" s="5" t="s">
        <v>58</v>
      </c>
      <c r="B323" s="5">
        <v>46113</v>
      </c>
      <c r="D323" s="6">
        <v>202602029</v>
      </c>
      <c r="E323" s="7" t="s">
        <v>73</v>
      </c>
      <c r="F323" s="7" t="s">
        <v>219</v>
      </c>
      <c r="G323" s="8" t="s">
        <v>22</v>
      </c>
      <c r="H323" s="9">
        <v>45</v>
      </c>
      <c r="I323" s="10" t="s">
        <v>43</v>
      </c>
      <c r="J323" s="13">
        <v>46069</v>
      </c>
      <c r="K323" s="24">
        <v>145456.95999999999</v>
      </c>
      <c r="L323" s="15" t="s">
        <v>20</v>
      </c>
      <c r="M323" s="18">
        <v>46141</v>
      </c>
      <c r="N323" s="44"/>
      <c r="P323" s="21">
        <v>46126</v>
      </c>
      <c r="Q323" s="43">
        <f t="shared" si="30"/>
        <v>13</v>
      </c>
      <c r="R323" s="22">
        <v>46090</v>
      </c>
      <c r="S323" s="26">
        <f t="shared" si="29"/>
        <v>8</v>
      </c>
      <c r="T323" s="29" t="str" cm="1">
        <f t="array" aca="1" ref="T323" ca="1">IFERROR(ROUND(CENTILE.SI.ENS($Q$2:$Q$2202,0.5,$E$2:$E$2202,E323,$Q$2:$Q$2202,"&gt;0"),0),"N/D")</f>
        <v>N/D</v>
      </c>
      <c r="U323" s="74">
        <f t="shared" si="27"/>
        <v>46123</v>
      </c>
    </row>
    <row r="324" spans="1:21" ht="11.25" hidden="1" customHeight="1" x14ac:dyDescent="0.2">
      <c r="A324" s="5" t="s">
        <v>58</v>
      </c>
      <c r="B324" s="5">
        <v>46142</v>
      </c>
      <c r="D324" s="6">
        <v>202603025</v>
      </c>
      <c r="E324" s="7" t="s">
        <v>73</v>
      </c>
      <c r="F324" s="7" t="s">
        <v>290</v>
      </c>
      <c r="G324" s="8" t="s">
        <v>22</v>
      </c>
      <c r="H324" s="9">
        <v>45</v>
      </c>
      <c r="I324" s="7" t="s">
        <v>291</v>
      </c>
      <c r="J324" s="13">
        <v>46098</v>
      </c>
      <c r="K324" s="24">
        <v>327525</v>
      </c>
      <c r="L324" s="15" t="s">
        <v>20</v>
      </c>
      <c r="M324" s="18">
        <v>46162</v>
      </c>
      <c r="N324" s="44"/>
      <c r="P324" s="21">
        <v>46147</v>
      </c>
      <c r="Q324" s="43">
        <f t="shared" si="30"/>
        <v>5</v>
      </c>
      <c r="R324" s="22">
        <v>46106</v>
      </c>
      <c r="S324" s="26">
        <f t="shared" si="29"/>
        <v>8</v>
      </c>
      <c r="T324" s="29" t="str" cm="1">
        <f t="array" aca="1" ref="T324" ca="1">IFERROR(ROUND(CENTILE.SI.ENS($Q$2:$Q$2202,0.5,$E$2:$E$2202,E324,$Q$2:$Q$2202,"&gt;0"),0),"N/D")</f>
        <v>N/D</v>
      </c>
      <c r="U324" s="74">
        <f t="shared" si="27"/>
        <v>46152</v>
      </c>
    </row>
    <row r="325" spans="1:21" ht="11.25" hidden="1" customHeight="1" x14ac:dyDescent="0.2">
      <c r="A325" s="5" t="s">
        <v>58</v>
      </c>
      <c r="B325" s="5">
        <v>46213</v>
      </c>
      <c r="D325" s="6">
        <v>202605034</v>
      </c>
      <c r="E325" s="7" t="s">
        <v>73</v>
      </c>
      <c r="F325" s="7" t="s">
        <v>444</v>
      </c>
      <c r="G325" s="8" t="s">
        <v>22</v>
      </c>
      <c r="H325" s="9">
        <v>45</v>
      </c>
      <c r="I325" s="7" t="s">
        <v>43</v>
      </c>
      <c r="J325" s="13">
        <v>46169</v>
      </c>
      <c r="K325" s="24">
        <v>142498.1</v>
      </c>
      <c r="L325" s="15" t="s">
        <v>20</v>
      </c>
      <c r="M325" s="16">
        <v>46259</v>
      </c>
      <c r="N325" s="44"/>
      <c r="O325" s="17"/>
      <c r="P325" s="21">
        <v>46218</v>
      </c>
      <c r="Q325" s="43">
        <f t="shared" si="30"/>
        <v>5</v>
      </c>
      <c r="R325" s="22">
        <v>46189</v>
      </c>
      <c r="S325" s="26">
        <f t="shared" si="29"/>
        <v>8</v>
      </c>
      <c r="T325" s="29" t="str" cm="1">
        <f t="array" aca="1" ref="T325" ca="1">IFERROR(ROUND(CENTILE.SI.ENS($Q$2:$Q$2202,0.5,$E$2:$E$2202,E325,$Q$2:$Q$2202,"&gt;0"),0),"N/D")</f>
        <v>N/D</v>
      </c>
      <c r="U325" s="74">
        <f t="shared" si="27"/>
        <v>46223</v>
      </c>
    </row>
    <row r="326" spans="1:21" ht="11.25" hidden="1" customHeight="1" x14ac:dyDescent="0.2">
      <c r="A326" s="5" t="s">
        <v>58</v>
      </c>
      <c r="B326" s="5">
        <v>46232</v>
      </c>
      <c r="D326" s="6">
        <v>202606035</v>
      </c>
      <c r="E326" s="7" t="s">
        <v>73</v>
      </c>
      <c r="F326" s="7" t="s">
        <v>290</v>
      </c>
      <c r="G326" s="8" t="s">
        <v>131</v>
      </c>
      <c r="H326" s="9">
        <v>45</v>
      </c>
      <c r="I326" s="7" t="s">
        <v>481</v>
      </c>
      <c r="J326" s="13">
        <v>46188</v>
      </c>
      <c r="K326" s="24">
        <v>758773.5</v>
      </c>
      <c r="L326" s="15" t="s">
        <v>20</v>
      </c>
      <c r="M326" s="16">
        <v>46247</v>
      </c>
      <c r="N326" s="44"/>
      <c r="O326" s="17"/>
      <c r="P326" s="21">
        <v>46237</v>
      </c>
      <c r="Q326" s="43">
        <f t="shared" si="30"/>
        <v>5</v>
      </c>
      <c r="S326" s="26">
        <f t="shared" si="29"/>
        <v>8</v>
      </c>
      <c r="T326" s="29" t="str" cm="1">
        <f t="array" aca="1" ref="T326" ca="1">IFERROR(ROUND(CENTILE.SI.ENS($Q$2:$Q$2202,0.5,$E$2:$E$2202,E326,$Q$2:$Q$2202,"&gt;0"),0),"N/D")</f>
        <v>N/D</v>
      </c>
      <c r="U326" s="74">
        <f t="shared" si="27"/>
        <v>46242</v>
      </c>
    </row>
    <row r="327" spans="1:21" ht="11.25" hidden="1" customHeight="1" x14ac:dyDescent="0.2">
      <c r="A327" s="35" t="s">
        <v>85</v>
      </c>
      <c r="B327" s="35">
        <v>46044</v>
      </c>
      <c r="C327" s="35"/>
      <c r="D327" s="36">
        <v>202601007</v>
      </c>
      <c r="E327" s="37" t="s">
        <v>86</v>
      </c>
      <c r="F327" s="37" t="s">
        <v>87</v>
      </c>
      <c r="G327" s="38" t="s">
        <v>22</v>
      </c>
      <c r="H327" s="39">
        <v>14</v>
      </c>
      <c r="I327" s="40" t="s">
        <v>88</v>
      </c>
      <c r="J327" s="38">
        <v>46031</v>
      </c>
      <c r="K327" s="41">
        <v>237128.11</v>
      </c>
      <c r="L327" s="42" t="s">
        <v>20</v>
      </c>
      <c r="M327" s="18">
        <v>46052</v>
      </c>
      <c r="N327" s="44">
        <v>237128.11</v>
      </c>
      <c r="P327" s="21">
        <v>46042</v>
      </c>
      <c r="Q327" s="43">
        <f t="shared" si="30"/>
        <v>-2</v>
      </c>
      <c r="R327" s="21">
        <v>46035</v>
      </c>
      <c r="S327" s="26">
        <f t="shared" si="29"/>
        <v>1</v>
      </c>
      <c r="T327" s="29" t="str" cm="1">
        <f t="array" aca="1" ref="T327" ca="1">IFERROR(ROUND(CENTILE.SI.ENS($Q$2:$Q$2202,0.5,$E$2:$E$2202,E327,$Q$2:$Q$2202,"&gt;0"),0),"N/D")</f>
        <v>N/D</v>
      </c>
      <c r="U327" s="74">
        <f t="shared" si="27"/>
        <v>46046</v>
      </c>
    </row>
    <row r="328" spans="1:21" ht="11.25" hidden="1" customHeight="1" x14ac:dyDescent="0.2">
      <c r="A328" s="35" t="s">
        <v>85</v>
      </c>
      <c r="B328" s="35">
        <v>46084</v>
      </c>
      <c r="C328" s="35"/>
      <c r="D328" s="36">
        <v>202602028</v>
      </c>
      <c r="E328" s="37" t="s">
        <v>86</v>
      </c>
      <c r="F328" s="37" t="s">
        <v>87</v>
      </c>
      <c r="G328" s="38" t="s">
        <v>65</v>
      </c>
      <c r="H328" s="39">
        <v>14</v>
      </c>
      <c r="I328" s="40" t="s">
        <v>88</v>
      </c>
      <c r="J328" s="38">
        <v>46070</v>
      </c>
      <c r="K328" s="44">
        <v>102185.4</v>
      </c>
      <c r="L328" s="42" t="s">
        <v>20</v>
      </c>
      <c r="N328" s="44">
        <v>102185.4</v>
      </c>
      <c r="P328" s="21">
        <v>46093</v>
      </c>
      <c r="Q328" s="43">
        <f t="shared" si="30"/>
        <v>9</v>
      </c>
      <c r="R328" s="21">
        <v>46072</v>
      </c>
      <c r="S328" s="26">
        <f t="shared" si="29"/>
        <v>1</v>
      </c>
      <c r="T328" s="29" t="str" cm="1">
        <f t="array" aca="1" ref="T328" ca="1">IFERROR(ROUND(CENTILE.SI.ENS($Q$2:$Q$2202,0.5,$E$2:$E$2202,E328,$Q$2:$Q$2202,"&gt;0"),0),"N/D")</f>
        <v>N/D</v>
      </c>
      <c r="U328" s="74">
        <f t="shared" si="27"/>
        <v>46086</v>
      </c>
    </row>
    <row r="329" spans="1:21" ht="11.25" hidden="1" customHeight="1" x14ac:dyDescent="0.2">
      <c r="A329" s="5" t="s">
        <v>85</v>
      </c>
      <c r="B329" s="5">
        <v>46188</v>
      </c>
      <c r="D329" s="6">
        <v>202606003</v>
      </c>
      <c r="E329" s="7" t="s">
        <v>86</v>
      </c>
      <c r="F329" s="7" t="s">
        <v>87</v>
      </c>
      <c r="G329" s="8" t="s">
        <v>22</v>
      </c>
      <c r="H329" s="9">
        <v>14</v>
      </c>
      <c r="I329" s="7" t="s">
        <v>447</v>
      </c>
      <c r="J329" s="13">
        <v>46175</v>
      </c>
      <c r="K329" s="14">
        <v>19169</v>
      </c>
      <c r="L329" s="15" t="s">
        <v>20</v>
      </c>
      <c r="M329" s="16"/>
      <c r="N329" s="44"/>
      <c r="O329" s="17"/>
      <c r="P329" s="21">
        <v>46189</v>
      </c>
      <c r="Q329" s="43">
        <f t="shared" si="30"/>
        <v>1</v>
      </c>
      <c r="R329" s="22">
        <v>46167</v>
      </c>
      <c r="S329" s="26">
        <f t="shared" si="29"/>
        <v>1</v>
      </c>
      <c r="T329" s="29" t="str" cm="1">
        <f t="array" aca="1" ref="T329" ca="1">IFERROR(ROUND(CENTILE.SI.ENS($Q$2:$Q$2202,0.5,$E$2:$E$2202,E329,$Q$2:$Q$2202,"&gt;0"),0),"N/D")</f>
        <v>N/D</v>
      </c>
      <c r="U329" s="74">
        <f t="shared" si="27"/>
        <v>46190</v>
      </c>
    </row>
    <row r="330" spans="1:21" ht="11.25" hidden="1" customHeight="1" x14ac:dyDescent="0.2">
      <c r="A330" s="5" t="s">
        <v>85</v>
      </c>
      <c r="B330" s="5">
        <v>46247</v>
      </c>
      <c r="D330" s="6">
        <v>202607056</v>
      </c>
      <c r="E330" s="7" t="s">
        <v>86</v>
      </c>
      <c r="F330" s="7" t="s">
        <v>547</v>
      </c>
      <c r="G330" s="8" t="s">
        <v>65</v>
      </c>
      <c r="H330" s="9">
        <v>15</v>
      </c>
      <c r="I330" s="7" t="s">
        <v>355</v>
      </c>
      <c r="J330" s="13">
        <v>46232</v>
      </c>
      <c r="K330" s="14">
        <v>15300</v>
      </c>
      <c r="L330" s="15" t="s">
        <v>20</v>
      </c>
      <c r="M330" s="16"/>
      <c r="N330" s="44"/>
      <c r="O330" s="17"/>
      <c r="P330" s="21">
        <v>46244</v>
      </c>
      <c r="Q330" s="43">
        <f t="shared" si="30"/>
        <v>-3</v>
      </c>
      <c r="S330" s="26">
        <f t="shared" si="29"/>
        <v>1</v>
      </c>
      <c r="T330" s="29" t="str" cm="1">
        <f t="array" aca="1" ref="T330" ca="1">IFERROR(ROUND(CENTILE.SI.ENS($Q$2:$Q$2202,0.5,$E$2:$E$2202,E330,$Q$2:$Q$2202,"&gt;0"),0),"N/D")</f>
        <v>N/D</v>
      </c>
      <c r="U330" s="74">
        <f t="shared" si="27"/>
        <v>46249</v>
      </c>
    </row>
    <row r="331" spans="1:21" ht="11.25" hidden="1" customHeight="1" x14ac:dyDescent="0.2">
      <c r="A331" s="35" t="s">
        <v>100</v>
      </c>
      <c r="B331" s="35">
        <v>46091</v>
      </c>
      <c r="C331" s="35"/>
      <c r="D331" s="36">
        <v>202601050</v>
      </c>
      <c r="E331" s="37" t="s">
        <v>105</v>
      </c>
      <c r="F331" s="37" t="s">
        <v>152</v>
      </c>
      <c r="G331" s="38" t="s">
        <v>22</v>
      </c>
      <c r="H331" s="39">
        <v>45</v>
      </c>
      <c r="I331" s="40" t="s">
        <v>153</v>
      </c>
      <c r="J331" s="38">
        <v>46047</v>
      </c>
      <c r="K331" s="41">
        <v>256714.57</v>
      </c>
      <c r="L331" s="42" t="s">
        <v>20</v>
      </c>
      <c r="M331" s="18">
        <v>46112</v>
      </c>
      <c r="N331" s="44"/>
      <c r="O331" s="7" t="s">
        <v>304</v>
      </c>
      <c r="P331" s="21">
        <v>46106</v>
      </c>
      <c r="Q331" s="43">
        <f t="shared" si="30"/>
        <v>15</v>
      </c>
      <c r="R331" s="21">
        <v>46076</v>
      </c>
      <c r="S331" s="26">
        <f t="shared" si="29"/>
        <v>33</v>
      </c>
      <c r="T331" s="29" t="str" cm="1">
        <f t="array" aca="1" ref="T331" ca="1">IFERROR(ROUND(CENTILE.SI.ENS($Q$2:$Q$2202,0.5,$E$2:$E$2202,E331,$Q$2:$Q$2202,"&gt;0"),0),"N/D")</f>
        <v>N/D</v>
      </c>
      <c r="U331" s="74">
        <f t="shared" si="27"/>
        <v>46131</v>
      </c>
    </row>
    <row r="332" spans="1:21" ht="11.25" hidden="1" customHeight="1" x14ac:dyDescent="0.2">
      <c r="A332" s="35" t="s">
        <v>58</v>
      </c>
      <c r="B332" s="35">
        <v>46101</v>
      </c>
      <c r="C332" s="35"/>
      <c r="D332" s="36">
        <v>202602010</v>
      </c>
      <c r="E332" s="37" t="s">
        <v>105</v>
      </c>
      <c r="F332" s="37" t="s">
        <v>188</v>
      </c>
      <c r="G332" s="38" t="s">
        <v>22</v>
      </c>
      <c r="H332" s="39">
        <v>45</v>
      </c>
      <c r="I332" s="40" t="s">
        <v>189</v>
      </c>
      <c r="J332" s="38">
        <v>46059</v>
      </c>
      <c r="K332" s="41">
        <v>548828.46</v>
      </c>
      <c r="L332" s="42" t="s">
        <v>20</v>
      </c>
      <c r="M332" s="18">
        <v>46120</v>
      </c>
      <c r="N332" s="44"/>
      <c r="O332" s="7" t="s">
        <v>304</v>
      </c>
      <c r="P332" s="21">
        <v>46106</v>
      </c>
      <c r="Q332" s="43">
        <f t="shared" si="30"/>
        <v>5</v>
      </c>
      <c r="R332" s="21">
        <v>46090</v>
      </c>
      <c r="S332" s="26">
        <f t="shared" si="29"/>
        <v>33</v>
      </c>
      <c r="T332" s="29" t="str" cm="1">
        <f t="array" aca="1" ref="T332" ca="1">IFERROR(ROUND(CENTILE.SI.ENS($Q$2:$Q$2202,0.5,$E$2:$E$2202,E332,$Q$2:$Q$2202,"&gt;0"),0),"N/D")</f>
        <v>N/D</v>
      </c>
      <c r="U332" s="74">
        <f t="shared" si="27"/>
        <v>46141</v>
      </c>
    </row>
    <row r="333" spans="1:21" ht="11.25" hidden="1" customHeight="1" x14ac:dyDescent="0.2">
      <c r="A333" s="5" t="s">
        <v>100</v>
      </c>
      <c r="B333" s="5">
        <v>46129</v>
      </c>
      <c r="D333" s="6">
        <v>202603013</v>
      </c>
      <c r="E333" s="7" t="s">
        <v>105</v>
      </c>
      <c r="F333" s="7" t="s">
        <v>276</v>
      </c>
      <c r="G333" s="8" t="s">
        <v>22</v>
      </c>
      <c r="H333" s="9">
        <v>45</v>
      </c>
      <c r="I333" s="7" t="s">
        <v>275</v>
      </c>
      <c r="J333" s="13">
        <v>46085</v>
      </c>
      <c r="K333" s="14">
        <v>99360</v>
      </c>
      <c r="L333" s="15" t="s">
        <v>34</v>
      </c>
      <c r="N333" s="44"/>
      <c r="O333" s="7" t="s">
        <v>452</v>
      </c>
      <c r="P333" s="21">
        <v>46211</v>
      </c>
      <c r="Q333" s="43">
        <f t="shared" si="30"/>
        <v>82</v>
      </c>
      <c r="R333" s="22">
        <v>46099</v>
      </c>
      <c r="S333" s="26">
        <f t="shared" si="29"/>
        <v>33</v>
      </c>
      <c r="T333" s="29" t="str" cm="1">
        <f t="array" aca="1" ref="T333" ca="1">IFERROR(ROUND(CENTILE.SI.ENS($Q$2:$Q$2202,0.5,$E$2:$E$2202,E333,$Q$2:$Q$2202,"&gt;0"),0),"N/D")</f>
        <v>N/D</v>
      </c>
      <c r="U333" s="74">
        <f t="shared" si="27"/>
        <v>46169</v>
      </c>
    </row>
    <row r="334" spans="1:21" ht="11.25" hidden="1" customHeight="1" x14ac:dyDescent="0.2">
      <c r="A334" s="5" t="s">
        <v>58</v>
      </c>
      <c r="B334" s="5">
        <v>46206</v>
      </c>
      <c r="D334" s="6">
        <v>202605023</v>
      </c>
      <c r="E334" s="7" t="s">
        <v>105</v>
      </c>
      <c r="F334" s="7" t="s">
        <v>433</v>
      </c>
      <c r="G334" s="8" t="s">
        <v>22</v>
      </c>
      <c r="H334" s="9">
        <v>45</v>
      </c>
      <c r="I334" s="7" t="s">
        <v>21</v>
      </c>
      <c r="J334" s="13">
        <v>46162</v>
      </c>
      <c r="K334" s="14">
        <v>148800</v>
      </c>
      <c r="L334" s="15" t="s">
        <v>20</v>
      </c>
      <c r="M334" s="16"/>
      <c r="N334" s="44"/>
      <c r="O334" s="17"/>
      <c r="P334" s="21">
        <v>46237</v>
      </c>
      <c r="Q334" s="43">
        <f t="shared" si="30"/>
        <v>31</v>
      </c>
      <c r="R334" s="22">
        <v>46183</v>
      </c>
      <c r="S334" s="26">
        <f t="shared" si="29"/>
        <v>33</v>
      </c>
      <c r="T334" s="29" t="str" cm="1">
        <f t="array" aca="1" ref="T334" ca="1">IFERROR(ROUND(CENTILE.SI.ENS($Q$2:$Q$2202,0.5,$E$2:$E$2202,E334,$Q$2:$Q$2202,"&gt;0"),0),"N/D")</f>
        <v>N/D</v>
      </c>
      <c r="U334" s="74">
        <f t="shared" si="27"/>
        <v>46246</v>
      </c>
    </row>
    <row r="335" spans="1:21" ht="11.25" hidden="1" customHeight="1" x14ac:dyDescent="0.2">
      <c r="A335" s="5" t="s">
        <v>55</v>
      </c>
      <c r="B335" s="5">
        <v>46078</v>
      </c>
      <c r="C335" s="5">
        <v>46086</v>
      </c>
      <c r="D335" s="6">
        <v>202602055</v>
      </c>
      <c r="E335" s="7" t="s">
        <v>23</v>
      </c>
      <c r="F335" s="7" t="s">
        <v>146</v>
      </c>
      <c r="G335" s="13" t="s">
        <v>19</v>
      </c>
      <c r="H335" s="9">
        <v>21</v>
      </c>
      <c r="I335" s="10" t="s">
        <v>41</v>
      </c>
      <c r="J335" s="13">
        <v>46058</v>
      </c>
      <c r="K335" s="14">
        <v>200</v>
      </c>
      <c r="L335" s="15" t="s">
        <v>20</v>
      </c>
      <c r="O335" s="7" t="s">
        <v>255</v>
      </c>
      <c r="P335" s="22">
        <v>46174</v>
      </c>
      <c r="Q335" s="43">
        <f t="shared" si="30"/>
        <v>96</v>
      </c>
      <c r="R335" s="22" t="s">
        <v>99</v>
      </c>
      <c r="S335" s="26">
        <f t="shared" si="29"/>
        <v>11</v>
      </c>
      <c r="T335" s="29" t="str" cm="1">
        <f t="array" aca="1" ref="T335" ca="1">IFERROR(ROUND(CENTILE.SI.ENS($Q$2:$Q$2202,0.5,$E$2:$E$2202,E335,$Q$2:$Q$2202,"&gt;0"),0),"N/D")</f>
        <v>N/D</v>
      </c>
      <c r="U335" s="74">
        <f t="shared" si="27"/>
        <v>46091</v>
      </c>
    </row>
    <row r="336" spans="1:21" ht="11.25" hidden="1" customHeight="1" x14ac:dyDescent="0.2">
      <c r="A336" s="5" t="s">
        <v>55</v>
      </c>
      <c r="B336" s="5">
        <v>46129</v>
      </c>
      <c r="D336" s="6">
        <v>202603039</v>
      </c>
      <c r="E336" s="7" t="s">
        <v>23</v>
      </c>
      <c r="F336" s="7" t="s">
        <v>49</v>
      </c>
      <c r="G336" s="8" t="s">
        <v>19</v>
      </c>
      <c r="H336" s="9">
        <v>21</v>
      </c>
      <c r="I336" s="7" t="s">
        <v>25</v>
      </c>
      <c r="J336" s="13">
        <v>46111</v>
      </c>
      <c r="K336" s="14">
        <v>200</v>
      </c>
      <c r="L336" s="15" t="s">
        <v>20</v>
      </c>
      <c r="N336" s="44"/>
      <c r="P336" s="21">
        <v>46150</v>
      </c>
      <c r="Q336" s="43">
        <f t="shared" si="30"/>
        <v>21</v>
      </c>
      <c r="R336" s="21" t="s">
        <v>99</v>
      </c>
      <c r="S336" s="26">
        <f t="shared" si="29"/>
        <v>11</v>
      </c>
      <c r="T336" s="29"/>
      <c r="U336" s="74">
        <f t="shared" si="27"/>
        <v>46142</v>
      </c>
    </row>
    <row r="337" spans="1:21" ht="11.25" hidden="1" customHeight="1" x14ac:dyDescent="0.2">
      <c r="A337" s="5" t="s">
        <v>55</v>
      </c>
      <c r="B337" s="5">
        <v>46133</v>
      </c>
      <c r="D337" s="6">
        <v>202604002</v>
      </c>
      <c r="E337" s="7" t="s">
        <v>23</v>
      </c>
      <c r="F337" s="7" t="s">
        <v>286</v>
      </c>
      <c r="G337" s="8" t="s">
        <v>19</v>
      </c>
      <c r="H337" s="9">
        <v>21</v>
      </c>
      <c r="I337" s="7" t="s">
        <v>41</v>
      </c>
      <c r="J337" s="13">
        <v>46113</v>
      </c>
      <c r="K337" s="14">
        <v>100</v>
      </c>
      <c r="L337" s="15" t="s">
        <v>20</v>
      </c>
      <c r="N337" s="44"/>
      <c r="P337" s="21">
        <v>46150</v>
      </c>
      <c r="Q337" s="43">
        <f t="shared" si="30"/>
        <v>17</v>
      </c>
      <c r="R337" s="21" t="s">
        <v>99</v>
      </c>
      <c r="S337" s="26">
        <f t="shared" si="29"/>
        <v>11</v>
      </c>
      <c r="T337" s="29" t="str" cm="1">
        <f t="array" aca="1" ref="T337" ca="1">IFERROR(ROUND(CENTILE.SI.ENS($Q$2:$Q$2202,0.5,$E$2:$E$2202,E337,$Q$2:$Q$2202,"&gt;0"),0),"N/D")</f>
        <v>N/D</v>
      </c>
      <c r="U337" s="74">
        <f t="shared" si="27"/>
        <v>46146</v>
      </c>
    </row>
    <row r="338" spans="1:21" ht="11.25" hidden="1" customHeight="1" x14ac:dyDescent="0.2">
      <c r="A338" s="5" t="s">
        <v>55</v>
      </c>
      <c r="B338" s="5">
        <v>46136</v>
      </c>
      <c r="D338" s="6">
        <v>202604003</v>
      </c>
      <c r="E338" s="7" t="s">
        <v>23</v>
      </c>
      <c r="F338" s="7" t="s">
        <v>29</v>
      </c>
      <c r="G338" s="8" t="s">
        <v>19</v>
      </c>
      <c r="H338" s="9">
        <v>21</v>
      </c>
      <c r="I338" s="7" t="s">
        <v>25</v>
      </c>
      <c r="J338" s="13">
        <v>46116</v>
      </c>
      <c r="K338" s="14">
        <v>270</v>
      </c>
      <c r="L338" s="15" t="s">
        <v>20</v>
      </c>
      <c r="N338" s="44"/>
      <c r="P338" s="21">
        <v>46150</v>
      </c>
      <c r="Q338" s="43">
        <f t="shared" si="30"/>
        <v>14</v>
      </c>
      <c r="R338" s="21" t="s">
        <v>99</v>
      </c>
      <c r="S338" s="26">
        <f t="shared" si="29"/>
        <v>11</v>
      </c>
      <c r="T338" s="29" t="str" cm="1">
        <f t="array" aca="1" ref="T338" ca="1">IFERROR(ROUND(CENTILE.SI.ENS($Q$2:$Q$2202,0.5,$E$2:$E$2202,E338,$Q$2:$Q$2202,"&gt;0"),0),"N/D")</f>
        <v>N/D</v>
      </c>
      <c r="U338" s="74">
        <f t="shared" si="27"/>
        <v>46149</v>
      </c>
    </row>
    <row r="339" spans="1:21" ht="11.25" hidden="1" customHeight="1" x14ac:dyDescent="0.2">
      <c r="A339" s="5" t="s">
        <v>55</v>
      </c>
      <c r="B339" s="5">
        <v>46141</v>
      </c>
      <c r="D339" s="6">
        <v>202604007</v>
      </c>
      <c r="E339" s="7" t="s">
        <v>23</v>
      </c>
      <c r="F339" s="7" t="s">
        <v>24</v>
      </c>
      <c r="G339" s="8" t="s">
        <v>19</v>
      </c>
      <c r="H339" s="9">
        <v>21</v>
      </c>
      <c r="I339" s="10" t="s">
        <v>25</v>
      </c>
      <c r="J339" s="13">
        <v>46121</v>
      </c>
      <c r="K339" s="14">
        <v>230.75</v>
      </c>
      <c r="L339" s="15" t="s">
        <v>20</v>
      </c>
      <c r="N339" s="44"/>
      <c r="P339" s="21">
        <v>46150</v>
      </c>
      <c r="Q339" s="43">
        <f t="shared" si="30"/>
        <v>9</v>
      </c>
      <c r="R339" s="21" t="s">
        <v>99</v>
      </c>
      <c r="S339" s="26">
        <f t="shared" si="29"/>
        <v>11</v>
      </c>
      <c r="T339" s="29" t="str" cm="1">
        <f t="array" aca="1" ref="T339" ca="1">IFERROR(ROUND(CENTILE.SI.ENS($Q$2:$Q$2202,0.5,$E$2:$E$2202,E339,$Q$2:$Q$2202,"&gt;0"),0),"N/D")</f>
        <v>N/D</v>
      </c>
      <c r="U339" s="74">
        <f t="shared" si="27"/>
        <v>46154</v>
      </c>
    </row>
    <row r="340" spans="1:21" ht="11.25" hidden="1" customHeight="1" x14ac:dyDescent="0.2">
      <c r="A340" s="5" t="s">
        <v>55</v>
      </c>
      <c r="B340" s="5">
        <v>46143</v>
      </c>
      <c r="D340" s="6">
        <v>202604010</v>
      </c>
      <c r="E340" s="7" t="s">
        <v>23</v>
      </c>
      <c r="F340" s="7" t="s">
        <v>49</v>
      </c>
      <c r="G340" s="8" t="s">
        <v>19</v>
      </c>
      <c r="H340" s="9">
        <v>21</v>
      </c>
      <c r="I340" s="7" t="s">
        <v>25</v>
      </c>
      <c r="J340" s="13">
        <v>46125</v>
      </c>
      <c r="K340" s="14">
        <v>220</v>
      </c>
      <c r="L340" s="15" t="s">
        <v>20</v>
      </c>
      <c r="N340" s="44"/>
      <c r="P340" s="21">
        <v>46150</v>
      </c>
      <c r="Q340" s="43">
        <f t="shared" si="30"/>
        <v>7</v>
      </c>
      <c r="R340" s="21" t="s">
        <v>99</v>
      </c>
      <c r="S340" s="26">
        <f t="shared" si="29"/>
        <v>11</v>
      </c>
      <c r="T340" s="29" t="str" cm="1">
        <f t="array" aca="1" ref="T340" ca="1">IFERROR(ROUND(CENTILE.SI.ENS($Q$2:$Q$2202,0.5,$E$2:$E$2202,E340,$Q$2:$Q$2202,"&gt;0"),0),"N/D")</f>
        <v>N/D</v>
      </c>
      <c r="U340" s="74">
        <f t="shared" si="27"/>
        <v>46156</v>
      </c>
    </row>
    <row r="341" spans="1:21" ht="11.25" hidden="1" customHeight="1" x14ac:dyDescent="0.2">
      <c r="A341" s="5" t="s">
        <v>55</v>
      </c>
      <c r="B341" s="5">
        <v>46147</v>
      </c>
      <c r="D341" s="6">
        <v>202604023</v>
      </c>
      <c r="E341" s="7" t="s">
        <v>23</v>
      </c>
      <c r="F341" s="7" t="s">
        <v>286</v>
      </c>
      <c r="G341" s="8" t="s">
        <v>19</v>
      </c>
      <c r="H341" s="9">
        <v>20</v>
      </c>
      <c r="I341" s="7" t="s">
        <v>41</v>
      </c>
      <c r="J341" s="13">
        <v>46128</v>
      </c>
      <c r="K341" s="14">
        <v>599.12</v>
      </c>
      <c r="L341" s="15" t="s">
        <v>20</v>
      </c>
      <c r="N341" s="44"/>
      <c r="P341" s="21">
        <v>46150</v>
      </c>
      <c r="Q341" s="43">
        <f t="shared" si="30"/>
        <v>3</v>
      </c>
      <c r="R341" s="21"/>
      <c r="S341" s="26">
        <f t="shared" si="29"/>
        <v>11</v>
      </c>
      <c r="T341" s="29"/>
      <c r="U341" s="74">
        <f t="shared" si="27"/>
        <v>46160</v>
      </c>
    </row>
    <row r="342" spans="1:21" ht="11.25" hidden="1" customHeight="1" x14ac:dyDescent="0.2">
      <c r="A342" s="5" t="s">
        <v>55</v>
      </c>
      <c r="B342" s="5">
        <v>46148</v>
      </c>
      <c r="D342" s="6">
        <v>202604017</v>
      </c>
      <c r="E342" s="7" t="s">
        <v>23</v>
      </c>
      <c r="F342" s="7" t="s">
        <v>24</v>
      </c>
      <c r="G342" s="8" t="s">
        <v>19</v>
      </c>
      <c r="H342" s="9">
        <v>21</v>
      </c>
      <c r="I342" s="7" t="s">
        <v>25</v>
      </c>
      <c r="J342" s="13">
        <v>46128</v>
      </c>
      <c r="K342" s="14">
        <v>170</v>
      </c>
      <c r="L342" s="15" t="s">
        <v>20</v>
      </c>
      <c r="N342" s="44"/>
      <c r="P342" s="21">
        <v>46170</v>
      </c>
      <c r="Q342" s="43">
        <f t="shared" si="30"/>
        <v>22</v>
      </c>
      <c r="R342" s="21"/>
      <c r="S342" s="26">
        <f t="shared" si="29"/>
        <v>11</v>
      </c>
      <c r="T342" s="29" t="str" cm="1">
        <f t="array" aca="1" ref="T342" ca="1">IFERROR(ROUND(CENTILE.SI.ENS($Q$2:$Q$2202,0.5,$E$2:$E$2202,E342,$Q$2:$Q$2202,"&gt;0"),0),"N/D")</f>
        <v>N/D</v>
      </c>
      <c r="U342" s="74">
        <f t="shared" si="27"/>
        <v>46161</v>
      </c>
    </row>
    <row r="343" spans="1:21" ht="11.25" hidden="1" customHeight="1" x14ac:dyDescent="0.2">
      <c r="A343" s="5" t="s">
        <v>55</v>
      </c>
      <c r="B343" s="5">
        <v>46150</v>
      </c>
      <c r="D343" s="6">
        <v>202604021</v>
      </c>
      <c r="E343" s="7" t="s">
        <v>23</v>
      </c>
      <c r="F343" s="7" t="s">
        <v>29</v>
      </c>
      <c r="G343" s="8" t="s">
        <v>19</v>
      </c>
      <c r="H343" s="9">
        <v>21</v>
      </c>
      <c r="I343" s="7" t="s">
        <v>25</v>
      </c>
      <c r="J343" s="13">
        <v>46130</v>
      </c>
      <c r="K343" s="14">
        <v>210</v>
      </c>
      <c r="L343" s="15" t="s">
        <v>20</v>
      </c>
      <c r="N343" s="44"/>
      <c r="P343" s="21">
        <v>46170</v>
      </c>
      <c r="Q343" s="43">
        <f t="shared" si="30"/>
        <v>20</v>
      </c>
      <c r="S343" s="26">
        <f t="shared" si="29"/>
        <v>11</v>
      </c>
      <c r="T343" s="29" t="str" cm="1">
        <f t="array" aca="1" ref="T343" ca="1">IFERROR(ROUND(CENTILE.SI.ENS($Q$2:$Q$2202,0.5,$E$2:$E$2202,E343,$Q$2:$Q$2202,"&gt;0"),0),"N/D")</f>
        <v>N/D</v>
      </c>
      <c r="U343" s="74">
        <f t="shared" si="27"/>
        <v>46163</v>
      </c>
    </row>
    <row r="344" spans="1:21" ht="11.25" hidden="1" customHeight="1" x14ac:dyDescent="0.2">
      <c r="A344" s="5" t="s">
        <v>55</v>
      </c>
      <c r="B344" s="5">
        <v>46156</v>
      </c>
      <c r="D344" s="6">
        <v>202604036</v>
      </c>
      <c r="E344" s="7" t="s">
        <v>23</v>
      </c>
      <c r="F344" s="7" t="s">
        <v>388</v>
      </c>
      <c r="G344" s="8" t="s">
        <v>19</v>
      </c>
      <c r="H344" s="9">
        <v>21</v>
      </c>
      <c r="I344" s="7" t="s">
        <v>389</v>
      </c>
      <c r="J344" s="13">
        <v>46136</v>
      </c>
      <c r="K344" s="14">
        <v>250</v>
      </c>
      <c r="L344" s="15" t="s">
        <v>20</v>
      </c>
      <c r="N344" s="44"/>
      <c r="P344" s="21">
        <v>46170</v>
      </c>
      <c r="Q344" s="43">
        <f t="shared" si="30"/>
        <v>14</v>
      </c>
      <c r="S344" s="26">
        <f t="shared" si="29"/>
        <v>11</v>
      </c>
      <c r="T344" s="29" t="str" cm="1">
        <f t="array" aca="1" ref="T344" ca="1">IFERROR(ROUND(CENTILE.SI.ENS($Q$2:$Q$2202,0.5,$E$2:$E$2202,E344,$Q$2:$Q$2202,"&gt;0"),0),"N/D")</f>
        <v>N/D</v>
      </c>
      <c r="U344" s="74">
        <f t="shared" si="27"/>
        <v>46169</v>
      </c>
    </row>
    <row r="345" spans="1:21" ht="11.25" hidden="1" customHeight="1" x14ac:dyDescent="0.2">
      <c r="A345" s="35" t="s">
        <v>54</v>
      </c>
      <c r="B345" s="35">
        <v>46045</v>
      </c>
      <c r="C345" s="35"/>
      <c r="D345" s="36">
        <v>202601001</v>
      </c>
      <c r="E345" s="37" t="s">
        <v>23</v>
      </c>
      <c r="F345" s="37" t="s">
        <v>24</v>
      </c>
      <c r="G345" s="38" t="s">
        <v>19</v>
      </c>
      <c r="H345" s="39">
        <v>21</v>
      </c>
      <c r="I345" s="40" t="s">
        <v>25</v>
      </c>
      <c r="J345" s="38">
        <v>46027</v>
      </c>
      <c r="K345" s="44">
        <v>200</v>
      </c>
      <c r="L345" s="42" t="s">
        <v>20</v>
      </c>
      <c r="N345" s="44"/>
      <c r="P345" s="21">
        <v>46049</v>
      </c>
      <c r="Q345" s="43">
        <f t="shared" si="30"/>
        <v>4</v>
      </c>
      <c r="R345" s="21" t="s">
        <v>99</v>
      </c>
      <c r="S345" s="26">
        <f t="shared" si="29"/>
        <v>11</v>
      </c>
      <c r="T345" s="29" t="str" cm="1">
        <f t="array" aca="1" ref="T345" ca="1">IFERROR(ROUND(CENTILE.SI.ENS($Q$2:$Q$2202,0.5,$E$2:$E$2202,E345,$Q$2:$Q$2202,"&gt;0"),0),"N/D")</f>
        <v>N/D</v>
      </c>
      <c r="U345" s="74">
        <f t="shared" si="27"/>
        <v>46058</v>
      </c>
    </row>
    <row r="346" spans="1:21" ht="11.25" hidden="1" customHeight="1" x14ac:dyDescent="0.2">
      <c r="A346" s="35" t="s">
        <v>54</v>
      </c>
      <c r="B346" s="35">
        <v>46048</v>
      </c>
      <c r="C346" s="35"/>
      <c r="D346" s="36">
        <v>202601003</v>
      </c>
      <c r="E346" s="37" t="s">
        <v>23</v>
      </c>
      <c r="F346" s="37" t="s">
        <v>81</v>
      </c>
      <c r="G346" s="38" t="s">
        <v>19</v>
      </c>
      <c r="H346" s="39">
        <v>21</v>
      </c>
      <c r="I346" s="40" t="s">
        <v>80</v>
      </c>
      <c r="J346" s="38">
        <v>46028</v>
      </c>
      <c r="K346" s="44">
        <v>300</v>
      </c>
      <c r="L346" s="42" t="s">
        <v>20</v>
      </c>
      <c r="N346" s="44"/>
      <c r="P346" s="21">
        <v>46049</v>
      </c>
      <c r="Q346" s="43">
        <f t="shared" si="30"/>
        <v>1</v>
      </c>
      <c r="R346" s="21" t="s">
        <v>99</v>
      </c>
      <c r="S346" s="26">
        <f t="shared" si="29"/>
        <v>11</v>
      </c>
      <c r="T346" s="29" t="str" cm="1">
        <f t="array" aca="1" ref="T346" ca="1">IFERROR(ROUND(CENTILE.SI.ENS($Q$2:$Q$2202,0.5,$E$2:$E$2202,E346,$Q$2:$Q$2202,"&gt;0"),0),"N/D")</f>
        <v>N/D</v>
      </c>
      <c r="U346" s="74">
        <f t="shared" si="27"/>
        <v>46061</v>
      </c>
    </row>
    <row r="347" spans="1:21" ht="11.25" hidden="1" customHeight="1" x14ac:dyDescent="0.2">
      <c r="A347" s="35" t="s">
        <v>55</v>
      </c>
      <c r="B347" s="35">
        <v>46048</v>
      </c>
      <c r="C347" s="35"/>
      <c r="D347" s="36">
        <v>202601004</v>
      </c>
      <c r="E347" s="37" t="s">
        <v>23</v>
      </c>
      <c r="F347" s="37" t="s">
        <v>49</v>
      </c>
      <c r="G347" s="38" t="s">
        <v>19</v>
      </c>
      <c r="H347" s="39">
        <v>21</v>
      </c>
      <c r="I347" s="40" t="s">
        <v>60</v>
      </c>
      <c r="J347" s="38">
        <v>46028</v>
      </c>
      <c r="K347" s="44">
        <v>100</v>
      </c>
      <c r="L347" s="42" t="s">
        <v>20</v>
      </c>
      <c r="N347" s="44"/>
      <c r="P347" s="21">
        <v>46049</v>
      </c>
      <c r="Q347" s="43">
        <f t="shared" si="30"/>
        <v>1</v>
      </c>
      <c r="R347" s="21" t="s">
        <v>99</v>
      </c>
      <c r="S347" s="26">
        <f t="shared" si="29"/>
        <v>11</v>
      </c>
      <c r="T347" s="29" t="str" cm="1">
        <f t="array" aca="1" ref="T347" ca="1">IFERROR(ROUND(CENTILE.SI.ENS($Q$2:$Q$2202,0.5,$E$2:$E$2202,E347,$Q$2:$Q$2202,"&gt;0"),0),"N/D")</f>
        <v>N/D</v>
      </c>
      <c r="U347" s="74">
        <f t="shared" si="27"/>
        <v>46061</v>
      </c>
    </row>
    <row r="348" spans="1:21" ht="11.25" hidden="1" customHeight="1" x14ac:dyDescent="0.2">
      <c r="A348" s="35" t="s">
        <v>55</v>
      </c>
      <c r="B348" s="35">
        <v>46052</v>
      </c>
      <c r="C348" s="35"/>
      <c r="D348" s="36">
        <v>202601022</v>
      </c>
      <c r="E348" s="37" t="s">
        <v>23</v>
      </c>
      <c r="F348" s="37" t="s">
        <v>119</v>
      </c>
      <c r="G348" s="38" t="s">
        <v>19</v>
      </c>
      <c r="H348" s="39">
        <v>21</v>
      </c>
      <c r="I348" s="40" t="s">
        <v>41</v>
      </c>
      <c r="J348" s="38">
        <v>46034</v>
      </c>
      <c r="K348" s="44">
        <v>200</v>
      </c>
      <c r="L348" s="42" t="s">
        <v>20</v>
      </c>
      <c r="N348" s="44"/>
      <c r="P348" s="21">
        <v>46059</v>
      </c>
      <c r="Q348" s="43">
        <f t="shared" si="30"/>
        <v>7</v>
      </c>
      <c r="R348" s="21" t="s">
        <v>99</v>
      </c>
      <c r="S348" s="26">
        <f t="shared" si="29"/>
        <v>11</v>
      </c>
      <c r="T348" s="29" t="str" cm="1">
        <f t="array" aca="1" ref="T348" ca="1">IFERROR(ROUND(CENTILE.SI.ENS($Q$2:$Q$2202,0.5,$E$2:$E$2202,E348,$Q$2:$Q$2202,"&gt;0"),0),"N/D")</f>
        <v>N/D</v>
      </c>
      <c r="U348" s="74">
        <f t="shared" si="27"/>
        <v>46065</v>
      </c>
    </row>
    <row r="349" spans="1:21" ht="11.25" hidden="1" customHeight="1" x14ac:dyDescent="0.2">
      <c r="A349" s="35" t="s">
        <v>55</v>
      </c>
      <c r="B349" s="35">
        <v>46052</v>
      </c>
      <c r="C349" s="35"/>
      <c r="D349" s="36">
        <v>202601026</v>
      </c>
      <c r="E349" s="37" t="s">
        <v>23</v>
      </c>
      <c r="F349" s="37" t="s">
        <v>49</v>
      </c>
      <c r="G349" s="38" t="s">
        <v>19</v>
      </c>
      <c r="H349" s="39">
        <v>21</v>
      </c>
      <c r="I349" s="40" t="s">
        <v>60</v>
      </c>
      <c r="J349" s="38">
        <v>46032</v>
      </c>
      <c r="K349" s="44">
        <v>60</v>
      </c>
      <c r="L349" s="42" t="s">
        <v>20</v>
      </c>
      <c r="N349" s="44"/>
      <c r="P349" s="21">
        <v>46049</v>
      </c>
      <c r="Q349" s="43">
        <f t="shared" si="30"/>
        <v>-3</v>
      </c>
      <c r="R349" s="21" t="s">
        <v>99</v>
      </c>
      <c r="S349" s="26">
        <f t="shared" si="29"/>
        <v>11</v>
      </c>
      <c r="T349" s="29" t="str" cm="1">
        <f t="array" aca="1" ref="T349" ca="1">IFERROR(ROUND(CENTILE.SI.ENS($Q$2:$Q$2202,0.5,$E$2:$E$2202,E349,$Q$2:$Q$2202,"&gt;0"),0),"N/D")</f>
        <v>N/D</v>
      </c>
      <c r="U349" s="74">
        <f t="shared" si="27"/>
        <v>46065</v>
      </c>
    </row>
    <row r="350" spans="1:21" ht="11.25" hidden="1" customHeight="1" x14ac:dyDescent="0.2">
      <c r="A350" s="35" t="s">
        <v>55</v>
      </c>
      <c r="B350" s="35">
        <v>46055</v>
      </c>
      <c r="C350" s="35"/>
      <c r="D350" s="36">
        <v>202601020</v>
      </c>
      <c r="E350" s="37" t="s">
        <v>23</v>
      </c>
      <c r="F350" s="37" t="s">
        <v>81</v>
      </c>
      <c r="G350" s="38" t="s">
        <v>19</v>
      </c>
      <c r="H350" s="39">
        <v>21</v>
      </c>
      <c r="I350" s="40" t="s">
        <v>80</v>
      </c>
      <c r="J350" s="38">
        <v>46035</v>
      </c>
      <c r="K350" s="44">
        <v>300</v>
      </c>
      <c r="L350" s="42" t="s">
        <v>20</v>
      </c>
      <c r="N350" s="44"/>
      <c r="P350" s="21">
        <v>46059</v>
      </c>
      <c r="Q350" s="43">
        <f t="shared" si="30"/>
        <v>4</v>
      </c>
      <c r="R350" s="21" t="s">
        <v>99</v>
      </c>
      <c r="S350" s="26">
        <f t="shared" si="29"/>
        <v>11</v>
      </c>
      <c r="T350" s="29" t="str" cm="1">
        <f t="array" aca="1" ref="T350" ca="1">IFERROR(ROUND(CENTILE.SI.ENS($Q$2:$Q$2202,0.5,$E$2:$E$2202,E350,$Q$2:$Q$2202,"&gt;0"),0),"N/D")</f>
        <v>N/D</v>
      </c>
      <c r="U350" s="74">
        <f t="shared" si="27"/>
        <v>46068</v>
      </c>
    </row>
    <row r="351" spans="1:21" ht="11.25" hidden="1" customHeight="1" x14ac:dyDescent="0.2">
      <c r="A351" s="35" t="s">
        <v>55</v>
      </c>
      <c r="B351" s="35">
        <v>46055</v>
      </c>
      <c r="C351" s="35"/>
      <c r="D351" s="36">
        <v>202601023</v>
      </c>
      <c r="E351" s="37" t="s">
        <v>23</v>
      </c>
      <c r="F351" s="37" t="s">
        <v>49</v>
      </c>
      <c r="G351" s="38" t="s">
        <v>19</v>
      </c>
      <c r="H351" s="39">
        <v>21</v>
      </c>
      <c r="I351" s="45" t="s">
        <v>60</v>
      </c>
      <c r="J351" s="38">
        <v>46035</v>
      </c>
      <c r="K351" s="44">
        <v>160</v>
      </c>
      <c r="L351" s="42" t="s">
        <v>20</v>
      </c>
      <c r="N351" s="44"/>
      <c r="P351" s="21">
        <v>46059</v>
      </c>
      <c r="Q351" s="43">
        <f t="shared" si="30"/>
        <v>4</v>
      </c>
      <c r="R351" s="21" t="s">
        <v>99</v>
      </c>
      <c r="S351" s="26">
        <f t="shared" si="29"/>
        <v>11</v>
      </c>
      <c r="T351" s="29" t="str" cm="1">
        <f t="array" aca="1" ref="T351" ca="1">IFERROR(ROUND(CENTILE.SI.ENS($Q$2:$Q$2202,0.5,$E$2:$E$2202,E351,$Q$2:$Q$2202,"&gt;0"),0),"N/D")</f>
        <v>N/D</v>
      </c>
      <c r="U351" s="74">
        <f t="shared" si="27"/>
        <v>46068</v>
      </c>
    </row>
    <row r="352" spans="1:21" ht="11.25" hidden="1" customHeight="1" x14ac:dyDescent="0.2">
      <c r="A352" s="35" t="s">
        <v>55</v>
      </c>
      <c r="B352" s="35">
        <v>46055</v>
      </c>
      <c r="C352" s="35"/>
      <c r="D352" s="36">
        <v>202601038</v>
      </c>
      <c r="E352" s="37" t="s">
        <v>23</v>
      </c>
      <c r="F352" s="37" t="s">
        <v>79</v>
      </c>
      <c r="G352" s="38" t="s">
        <v>19</v>
      </c>
      <c r="H352" s="39">
        <v>21</v>
      </c>
      <c r="I352" s="45" t="s">
        <v>80</v>
      </c>
      <c r="J352" s="38">
        <v>46035</v>
      </c>
      <c r="K352" s="44">
        <v>300</v>
      </c>
      <c r="L352" s="42" t="s">
        <v>20</v>
      </c>
      <c r="N352" s="44"/>
      <c r="P352" s="21">
        <v>46059</v>
      </c>
      <c r="Q352" s="43">
        <f t="shared" si="30"/>
        <v>4</v>
      </c>
      <c r="R352" s="21" t="s">
        <v>99</v>
      </c>
      <c r="S352" s="26">
        <f t="shared" si="29"/>
        <v>11</v>
      </c>
      <c r="T352" s="29" t="str" cm="1">
        <f t="array" aca="1" ref="T352" ca="1">IFERROR(ROUND(CENTILE.SI.ENS($Q$2:$Q$2202,0.5,$E$2:$E$2202,E352,$Q$2:$Q$2202,"&gt;0"),0),"N/D")</f>
        <v>N/D</v>
      </c>
      <c r="U352" s="74">
        <f t="shared" si="27"/>
        <v>46068</v>
      </c>
    </row>
    <row r="353" spans="1:21" ht="11.25" hidden="1" customHeight="1" x14ac:dyDescent="0.2">
      <c r="A353" s="35" t="s">
        <v>54</v>
      </c>
      <c r="B353" s="35">
        <v>46055</v>
      </c>
      <c r="C353" s="35"/>
      <c r="D353" s="36">
        <v>202601043</v>
      </c>
      <c r="E353" s="37" t="s">
        <v>23</v>
      </c>
      <c r="F353" s="37" t="s">
        <v>146</v>
      </c>
      <c r="G353" s="38" t="s">
        <v>19</v>
      </c>
      <c r="H353" s="39">
        <v>21</v>
      </c>
      <c r="I353" s="45" t="s">
        <v>41</v>
      </c>
      <c r="J353" s="38">
        <v>46035</v>
      </c>
      <c r="K353" s="44">
        <v>140</v>
      </c>
      <c r="L353" s="42" t="s">
        <v>20</v>
      </c>
      <c r="N353" s="44"/>
      <c r="P353" s="21">
        <v>46059</v>
      </c>
      <c r="Q353" s="43">
        <f t="shared" si="30"/>
        <v>4</v>
      </c>
      <c r="R353" s="21" t="s">
        <v>99</v>
      </c>
      <c r="S353" s="26"/>
      <c r="T353" s="29"/>
      <c r="U353" s="74"/>
    </row>
    <row r="354" spans="1:21" ht="11.25" hidden="1" customHeight="1" x14ac:dyDescent="0.2">
      <c r="A354" s="35" t="s">
        <v>55</v>
      </c>
      <c r="B354" s="35">
        <v>46057</v>
      </c>
      <c r="C354" s="35"/>
      <c r="D354" s="36">
        <v>202601014</v>
      </c>
      <c r="E354" s="37" t="s">
        <v>23</v>
      </c>
      <c r="F354" s="37" t="s">
        <v>29</v>
      </c>
      <c r="G354" s="38" t="s">
        <v>19</v>
      </c>
      <c r="H354" s="39">
        <v>21</v>
      </c>
      <c r="I354" s="40" t="s">
        <v>25</v>
      </c>
      <c r="J354" s="38">
        <v>46037</v>
      </c>
      <c r="K354" s="44">
        <v>180</v>
      </c>
      <c r="L354" s="42" t="s">
        <v>20</v>
      </c>
      <c r="N354" s="44"/>
      <c r="P354" s="21">
        <v>46059</v>
      </c>
      <c r="Q354" s="43">
        <f t="shared" si="30"/>
        <v>2</v>
      </c>
      <c r="R354" s="21" t="s">
        <v>99</v>
      </c>
      <c r="S354" s="26">
        <f t="shared" ref="S354:S389" si="31">IFERROR(ROUND(AVERAGEIF($E$2:$E$2202,E354,$Q$2:$Q$2202),0),"N/D")</f>
        <v>11</v>
      </c>
      <c r="T354" s="29" t="str" cm="1">
        <f t="array" aca="1" ref="T354" ca="1">IFERROR(ROUND(CENTILE.SI.ENS($Q$2:$Q$2202,0.5,$E$2:$E$2202,E354,$Q$2:$Q$2202,"&gt;0"),0),"N/D")</f>
        <v>N/D</v>
      </c>
      <c r="U354" s="74">
        <f t="shared" ref="U354:U389" si="32">IFERROR(B354+ROUNDUP(AVERAGEIF($E$2:$E$2202,E354,$Q$2:$Q$2202)*1.2,0),"N/D")</f>
        <v>46070</v>
      </c>
    </row>
    <row r="355" spans="1:21" ht="11.25" hidden="1" customHeight="1" x14ac:dyDescent="0.2">
      <c r="A355" s="35" t="s">
        <v>55</v>
      </c>
      <c r="B355" s="35">
        <v>46057</v>
      </c>
      <c r="C355" s="35"/>
      <c r="D355" s="36">
        <v>202601021</v>
      </c>
      <c r="E355" s="37" t="s">
        <v>23</v>
      </c>
      <c r="F355" s="37" t="s">
        <v>115</v>
      </c>
      <c r="G355" s="38" t="s">
        <v>19</v>
      </c>
      <c r="H355" s="39">
        <v>21</v>
      </c>
      <c r="I355" s="40" t="s">
        <v>41</v>
      </c>
      <c r="J355" s="38">
        <v>46037</v>
      </c>
      <c r="K355" s="44">
        <v>300</v>
      </c>
      <c r="L355" s="42" t="s">
        <v>20</v>
      </c>
      <c r="N355" s="44"/>
      <c r="P355" s="21">
        <v>46059</v>
      </c>
      <c r="Q355" s="43">
        <f t="shared" si="30"/>
        <v>2</v>
      </c>
      <c r="R355" s="21" t="s">
        <v>99</v>
      </c>
      <c r="S355" s="26">
        <f t="shared" si="31"/>
        <v>11</v>
      </c>
      <c r="T355" s="29" t="str" cm="1">
        <f t="array" aca="1" ref="T355" ca="1">IFERROR(ROUND(CENTILE.SI.ENS($Q$2:$Q$2202,0.5,$E$2:$E$2202,E355,$Q$2:$Q$2202,"&gt;0"),0),"N/D")</f>
        <v>N/D</v>
      </c>
      <c r="U355" s="74">
        <f t="shared" si="32"/>
        <v>46070</v>
      </c>
    </row>
    <row r="356" spans="1:21" ht="11.25" hidden="1" customHeight="1" x14ac:dyDescent="0.2">
      <c r="A356" s="35" t="s">
        <v>55</v>
      </c>
      <c r="B356" s="35">
        <v>46059</v>
      </c>
      <c r="C356" s="35"/>
      <c r="D356" s="36">
        <v>202601024</v>
      </c>
      <c r="E356" s="37" t="s">
        <v>23</v>
      </c>
      <c r="F356" s="37" t="s">
        <v>120</v>
      </c>
      <c r="G356" s="38" t="s">
        <v>19</v>
      </c>
      <c r="H356" s="39">
        <v>21</v>
      </c>
      <c r="I356" s="37" t="s">
        <v>41</v>
      </c>
      <c r="J356" s="38">
        <v>46039</v>
      </c>
      <c r="K356" s="44">
        <v>200</v>
      </c>
      <c r="L356" s="42" t="s">
        <v>20</v>
      </c>
      <c r="N356" s="44">
        <v>200</v>
      </c>
      <c r="P356" s="21">
        <v>46070</v>
      </c>
      <c r="Q356" s="43">
        <f t="shared" si="30"/>
        <v>11</v>
      </c>
      <c r="R356" s="21" t="s">
        <v>99</v>
      </c>
      <c r="S356" s="26">
        <f t="shared" si="31"/>
        <v>11</v>
      </c>
      <c r="T356" s="29" t="str" cm="1">
        <f t="array" aca="1" ref="T356" ca="1">IFERROR(ROUND(CENTILE.SI.ENS($Q$2:$Q$2202,0.5,$E$2:$E$2202,E356,$Q$2:$Q$2202,"&gt;0"),0),"N/D")</f>
        <v>N/D</v>
      </c>
      <c r="U356" s="74">
        <f t="shared" si="32"/>
        <v>46072</v>
      </c>
    </row>
    <row r="357" spans="1:21" ht="11.25" hidden="1" customHeight="1" x14ac:dyDescent="0.2">
      <c r="A357" s="35" t="s">
        <v>55</v>
      </c>
      <c r="B357" s="35">
        <v>46059</v>
      </c>
      <c r="C357" s="35"/>
      <c r="D357" s="36">
        <v>202601025</v>
      </c>
      <c r="E357" s="37" t="s">
        <v>23</v>
      </c>
      <c r="F357" s="37" t="s">
        <v>119</v>
      </c>
      <c r="G357" s="38" t="s">
        <v>19</v>
      </c>
      <c r="H357" s="39">
        <v>21</v>
      </c>
      <c r="I357" s="37" t="s">
        <v>80</v>
      </c>
      <c r="J357" s="38">
        <v>46041</v>
      </c>
      <c r="K357" s="44">
        <v>200</v>
      </c>
      <c r="L357" s="42" t="s">
        <v>20</v>
      </c>
      <c r="N357" s="44">
        <v>200</v>
      </c>
      <c r="P357" s="21">
        <v>46070</v>
      </c>
      <c r="Q357" s="43">
        <f t="shared" si="30"/>
        <v>11</v>
      </c>
      <c r="R357" s="21" t="s">
        <v>99</v>
      </c>
      <c r="S357" s="26">
        <f t="shared" si="31"/>
        <v>11</v>
      </c>
      <c r="T357" s="29" t="str" cm="1">
        <f t="array" aca="1" ref="T357" ca="1">IFERROR(ROUND(CENTILE.SI.ENS($Q$2:$Q$2202,0.5,$E$2:$E$2202,E357,$Q$2:$Q$2202,"&gt;0"),0),"N/D")</f>
        <v>N/D</v>
      </c>
      <c r="U357" s="74">
        <f t="shared" si="32"/>
        <v>46072</v>
      </c>
    </row>
    <row r="358" spans="1:21" ht="11.25" hidden="1" customHeight="1" x14ac:dyDescent="0.2">
      <c r="A358" s="35" t="s">
        <v>55</v>
      </c>
      <c r="B358" s="35">
        <v>46062</v>
      </c>
      <c r="C358" s="35"/>
      <c r="D358" s="36">
        <v>202601044</v>
      </c>
      <c r="E358" s="37" t="s">
        <v>23</v>
      </c>
      <c r="F358" s="37" t="s">
        <v>49</v>
      </c>
      <c r="G358" s="38" t="s">
        <v>19</v>
      </c>
      <c r="H358" s="39">
        <v>21</v>
      </c>
      <c r="I358" s="37" t="s">
        <v>60</v>
      </c>
      <c r="J358" s="38">
        <v>46042</v>
      </c>
      <c r="K358" s="44">
        <v>200</v>
      </c>
      <c r="L358" s="42" t="s">
        <v>20</v>
      </c>
      <c r="N358" s="44">
        <v>200</v>
      </c>
      <c r="P358" s="21">
        <v>46070</v>
      </c>
      <c r="Q358" s="43">
        <f t="shared" si="30"/>
        <v>8</v>
      </c>
      <c r="R358" s="21" t="s">
        <v>99</v>
      </c>
      <c r="S358" s="26">
        <f t="shared" si="31"/>
        <v>11</v>
      </c>
      <c r="T358" s="29" t="str" cm="1">
        <f t="array" aca="1" ref="T358" ca="1">IFERROR(ROUND(CENTILE.SI.ENS($Q$2:$Q$2202,0.5,$E$2:$E$2202,E358,$Q$2:$Q$2202,"&gt;0"),0),"N/D")</f>
        <v>N/D</v>
      </c>
      <c r="U358" s="74">
        <f t="shared" si="32"/>
        <v>46075</v>
      </c>
    </row>
    <row r="359" spans="1:21" ht="11.25" hidden="1" customHeight="1" x14ac:dyDescent="0.2">
      <c r="A359" s="35" t="s">
        <v>55</v>
      </c>
      <c r="B359" s="35">
        <v>46063</v>
      </c>
      <c r="C359" s="35"/>
      <c r="D359" s="36">
        <v>202601031</v>
      </c>
      <c r="E359" s="37" t="s">
        <v>23</v>
      </c>
      <c r="F359" s="37" t="s">
        <v>24</v>
      </c>
      <c r="G359" s="38" t="s">
        <v>19</v>
      </c>
      <c r="H359" s="39">
        <v>21</v>
      </c>
      <c r="I359" s="37" t="s">
        <v>25</v>
      </c>
      <c r="J359" s="38">
        <v>46043</v>
      </c>
      <c r="K359" s="44">
        <v>220</v>
      </c>
      <c r="L359" s="42" t="s">
        <v>20</v>
      </c>
      <c r="N359" s="44">
        <v>220</v>
      </c>
      <c r="P359" s="21">
        <v>46070</v>
      </c>
      <c r="Q359" s="43">
        <f t="shared" si="30"/>
        <v>7</v>
      </c>
      <c r="R359" s="21" t="s">
        <v>99</v>
      </c>
      <c r="S359" s="26">
        <f t="shared" si="31"/>
        <v>11</v>
      </c>
      <c r="T359" s="29" t="str" cm="1">
        <f t="array" aca="1" ref="T359" ca="1">IFERROR(ROUND(CENTILE.SI.ENS($Q$2:$Q$2202,0.5,$E$2:$E$2202,E359,$Q$2:$Q$2202,"&gt;0"),0),"N/D")</f>
        <v>N/D</v>
      </c>
      <c r="U359" s="74">
        <f t="shared" si="32"/>
        <v>46076</v>
      </c>
    </row>
    <row r="360" spans="1:21" ht="11.25" hidden="1" customHeight="1" x14ac:dyDescent="0.2">
      <c r="A360" s="35" t="s">
        <v>55</v>
      </c>
      <c r="B360" s="35">
        <v>46063</v>
      </c>
      <c r="C360" s="35"/>
      <c r="D360" s="36">
        <v>202601046</v>
      </c>
      <c r="E360" s="37" t="s">
        <v>23</v>
      </c>
      <c r="F360" s="37" t="s">
        <v>146</v>
      </c>
      <c r="G360" s="38" t="s">
        <v>19</v>
      </c>
      <c r="H360" s="39">
        <v>21</v>
      </c>
      <c r="I360" s="37" t="s">
        <v>41</v>
      </c>
      <c r="J360" s="38">
        <v>46043</v>
      </c>
      <c r="K360" s="44">
        <v>100</v>
      </c>
      <c r="L360" s="42" t="s">
        <v>20</v>
      </c>
      <c r="N360" s="44">
        <v>100</v>
      </c>
      <c r="P360" s="21">
        <v>46070</v>
      </c>
      <c r="Q360" s="43">
        <f t="shared" si="30"/>
        <v>7</v>
      </c>
      <c r="R360" s="21" t="s">
        <v>99</v>
      </c>
      <c r="S360" s="26">
        <f t="shared" si="31"/>
        <v>11</v>
      </c>
      <c r="T360" s="29"/>
      <c r="U360" s="74">
        <f t="shared" si="32"/>
        <v>46076</v>
      </c>
    </row>
    <row r="361" spans="1:21" ht="11.25" hidden="1" customHeight="1" x14ac:dyDescent="0.2">
      <c r="A361" s="35" t="s">
        <v>55</v>
      </c>
      <c r="B361" s="35">
        <v>46065</v>
      </c>
      <c r="C361" s="35"/>
      <c r="D361" s="36">
        <v>202601045</v>
      </c>
      <c r="E361" s="37" t="s">
        <v>23</v>
      </c>
      <c r="F361" s="37" t="s">
        <v>59</v>
      </c>
      <c r="G361" s="38" t="s">
        <v>19</v>
      </c>
      <c r="H361" s="39">
        <v>21</v>
      </c>
      <c r="I361" s="40" t="s">
        <v>41</v>
      </c>
      <c r="J361" s="38">
        <v>46045</v>
      </c>
      <c r="K361" s="44">
        <v>320</v>
      </c>
      <c r="L361" s="42" t="s">
        <v>20</v>
      </c>
      <c r="N361" s="44">
        <f>1207-100-220-200-200-200</f>
        <v>287</v>
      </c>
      <c r="P361" s="21">
        <v>46070</v>
      </c>
      <c r="Q361" s="43">
        <f t="shared" si="30"/>
        <v>5</v>
      </c>
      <c r="R361" s="21" t="s">
        <v>99</v>
      </c>
      <c r="S361" s="26">
        <f t="shared" si="31"/>
        <v>11</v>
      </c>
      <c r="T361" s="29"/>
      <c r="U361" s="74">
        <f t="shared" si="32"/>
        <v>46078</v>
      </c>
    </row>
    <row r="362" spans="1:21" ht="11.25" hidden="1" customHeight="1" x14ac:dyDescent="0.2">
      <c r="A362" s="35" t="s">
        <v>55</v>
      </c>
      <c r="B362" s="35">
        <v>46069</v>
      </c>
      <c r="C362" s="35"/>
      <c r="D362" s="36">
        <v>202601048</v>
      </c>
      <c r="E362" s="37" t="s">
        <v>23</v>
      </c>
      <c r="F362" s="37" t="s">
        <v>49</v>
      </c>
      <c r="G362" s="38" t="s">
        <v>19</v>
      </c>
      <c r="H362" s="39">
        <v>21</v>
      </c>
      <c r="I362" s="40" t="s">
        <v>25</v>
      </c>
      <c r="J362" s="38">
        <v>46049</v>
      </c>
      <c r="K362" s="44">
        <v>150</v>
      </c>
      <c r="L362" s="42" t="s">
        <v>20</v>
      </c>
      <c r="N362" s="44">
        <v>150</v>
      </c>
      <c r="P362" s="21">
        <v>46077</v>
      </c>
      <c r="Q362" s="43">
        <f t="shared" si="30"/>
        <v>8</v>
      </c>
      <c r="R362" s="21" t="s">
        <v>99</v>
      </c>
      <c r="S362" s="26">
        <f t="shared" si="31"/>
        <v>11</v>
      </c>
      <c r="T362" s="29" t="str" cm="1">
        <f t="array" aca="1" ref="T362" ca="1">IFERROR(ROUND(CENTILE.SI.ENS($Q$2:$Q$2202,0.5,$E$2:$E$2202,E362,$Q$2:$Q$2202,"&gt;0"),0),"N/D")</f>
        <v>N/D</v>
      </c>
      <c r="U362" s="74">
        <f t="shared" si="32"/>
        <v>46082</v>
      </c>
    </row>
    <row r="363" spans="1:21" ht="11.25" hidden="1" customHeight="1" x14ac:dyDescent="0.2">
      <c r="A363" s="35" t="s">
        <v>55</v>
      </c>
      <c r="B363" s="35">
        <v>46069</v>
      </c>
      <c r="C363" s="35"/>
      <c r="D363" s="36">
        <v>202601051</v>
      </c>
      <c r="E363" s="37" t="s">
        <v>23</v>
      </c>
      <c r="F363" s="37" t="s">
        <v>146</v>
      </c>
      <c r="G363" s="38" t="s">
        <v>19</v>
      </c>
      <c r="H363" s="39">
        <v>21</v>
      </c>
      <c r="I363" s="40" t="s">
        <v>41</v>
      </c>
      <c r="J363" s="38">
        <v>46049</v>
      </c>
      <c r="K363" s="44">
        <v>100</v>
      </c>
      <c r="L363" s="42" t="s">
        <v>20</v>
      </c>
      <c r="N363" s="44">
        <v>100</v>
      </c>
      <c r="P363" s="21">
        <v>46077</v>
      </c>
      <c r="Q363" s="43">
        <f t="shared" si="30"/>
        <v>8</v>
      </c>
      <c r="R363" s="21" t="s">
        <v>99</v>
      </c>
      <c r="S363" s="26">
        <f t="shared" si="31"/>
        <v>11</v>
      </c>
      <c r="T363" s="29" t="str" cm="1">
        <f t="array" aca="1" ref="T363" ca="1">IFERROR(ROUND(CENTILE.SI.ENS($Q$2:$Q$2202,0.5,$E$2:$E$2202,E363,$Q$2:$Q$2202,"&gt;0"),0),"N/D")</f>
        <v>N/D</v>
      </c>
      <c r="U363" s="74">
        <f t="shared" si="32"/>
        <v>46082</v>
      </c>
    </row>
    <row r="364" spans="1:21" ht="11.25" hidden="1" customHeight="1" x14ac:dyDescent="0.2">
      <c r="A364" s="35" t="s">
        <v>55</v>
      </c>
      <c r="B364" s="35">
        <v>46069</v>
      </c>
      <c r="C364" s="35"/>
      <c r="D364" s="36">
        <v>202601053</v>
      </c>
      <c r="E364" s="37" t="s">
        <v>23</v>
      </c>
      <c r="F364" s="37" t="s">
        <v>59</v>
      </c>
      <c r="G364" s="38" t="s">
        <v>19</v>
      </c>
      <c r="H364" s="39">
        <v>21</v>
      </c>
      <c r="I364" s="40" t="s">
        <v>41</v>
      </c>
      <c r="J364" s="38">
        <v>46049</v>
      </c>
      <c r="K364" s="44">
        <v>100</v>
      </c>
      <c r="L364" s="42" t="s">
        <v>20</v>
      </c>
      <c r="N364" s="44">
        <v>100</v>
      </c>
      <c r="P364" s="21">
        <v>46077</v>
      </c>
      <c r="Q364" s="43">
        <f t="shared" si="30"/>
        <v>8</v>
      </c>
      <c r="R364" s="21" t="s">
        <v>99</v>
      </c>
      <c r="S364" s="26">
        <f t="shared" si="31"/>
        <v>11</v>
      </c>
      <c r="T364" s="29" t="str" cm="1">
        <f t="array" aca="1" ref="T364" ca="1">IFERROR(ROUND(CENTILE.SI.ENS($Q$2:$Q$2202,0.5,$E$2:$E$2202,E364,$Q$2:$Q$2202,"&gt;0"),0),"N/D")</f>
        <v>N/D</v>
      </c>
      <c r="U364" s="74">
        <f t="shared" si="32"/>
        <v>46082</v>
      </c>
    </row>
    <row r="365" spans="1:21" ht="11.25" hidden="1" customHeight="1" x14ac:dyDescent="0.2">
      <c r="A365" s="35" t="s">
        <v>55</v>
      </c>
      <c r="B365" s="35">
        <v>46070</v>
      </c>
      <c r="C365" s="35"/>
      <c r="D365" s="36">
        <v>202601052</v>
      </c>
      <c r="E365" s="37" t="s">
        <v>23</v>
      </c>
      <c r="F365" s="37" t="s">
        <v>119</v>
      </c>
      <c r="G365" s="38" t="s">
        <v>19</v>
      </c>
      <c r="H365" s="39">
        <v>21</v>
      </c>
      <c r="I365" s="40" t="s">
        <v>80</v>
      </c>
      <c r="J365" s="38">
        <v>46050</v>
      </c>
      <c r="K365" s="44">
        <v>200</v>
      </c>
      <c r="L365" s="42" t="s">
        <v>20</v>
      </c>
      <c r="N365" s="44">
        <v>200</v>
      </c>
      <c r="P365" s="21">
        <v>46077</v>
      </c>
      <c r="Q365" s="43">
        <f t="shared" si="30"/>
        <v>7</v>
      </c>
      <c r="R365" s="21" t="s">
        <v>99</v>
      </c>
      <c r="S365" s="26">
        <f t="shared" si="31"/>
        <v>11</v>
      </c>
      <c r="T365" s="29" t="str" cm="1">
        <f t="array" aca="1" ref="T365" ca="1">IFERROR(ROUND(CENTILE.SI.ENS($Q$2:$Q$2202,0.5,$E$2:$E$2202,E365,$Q$2:$Q$2202,"&gt;0"),0),"N/D")</f>
        <v>N/D</v>
      </c>
      <c r="U365" s="74">
        <f t="shared" si="32"/>
        <v>46083</v>
      </c>
    </row>
    <row r="366" spans="1:21" ht="11.25" hidden="1" customHeight="1" x14ac:dyDescent="0.2">
      <c r="A366" s="35" t="s">
        <v>55</v>
      </c>
      <c r="B366" s="35">
        <v>46073</v>
      </c>
      <c r="C366" s="35"/>
      <c r="D366" s="36">
        <v>202602004</v>
      </c>
      <c r="E366" s="37" t="s">
        <v>23</v>
      </c>
      <c r="F366" s="37" t="s">
        <v>146</v>
      </c>
      <c r="G366" s="38" t="s">
        <v>19</v>
      </c>
      <c r="H366" s="39">
        <v>21</v>
      </c>
      <c r="I366" s="40" t="s">
        <v>41</v>
      </c>
      <c r="J366" s="38">
        <v>46055</v>
      </c>
      <c r="K366" s="44">
        <v>200</v>
      </c>
      <c r="L366" s="42" t="s">
        <v>20</v>
      </c>
      <c r="N366" s="44">
        <f>717-200-100-100-150</f>
        <v>167</v>
      </c>
      <c r="P366" s="21">
        <v>46077</v>
      </c>
      <c r="Q366" s="43">
        <f t="shared" si="30"/>
        <v>4</v>
      </c>
      <c r="R366" s="21" t="s">
        <v>99</v>
      </c>
      <c r="S366" s="26">
        <f t="shared" si="31"/>
        <v>11</v>
      </c>
      <c r="T366" s="29" t="str" cm="1">
        <f t="array" aca="1" ref="T366" ca="1">IFERROR(ROUND(CENTILE.SI.ENS($Q$2:$Q$2202,0.5,$E$2:$E$2202,E366,$Q$2:$Q$2202,"&gt;0"),0),"N/D")</f>
        <v>N/D</v>
      </c>
      <c r="U366" s="74">
        <f t="shared" si="32"/>
        <v>46086</v>
      </c>
    </row>
    <row r="367" spans="1:21" ht="11.25" hidden="1" customHeight="1" x14ac:dyDescent="0.2">
      <c r="A367" s="35" t="s">
        <v>55</v>
      </c>
      <c r="B367" s="35">
        <v>46079</v>
      </c>
      <c r="C367" s="35"/>
      <c r="D367" s="36">
        <v>202602022</v>
      </c>
      <c r="E367" s="37" t="s">
        <v>23</v>
      </c>
      <c r="F367" s="37" t="s">
        <v>146</v>
      </c>
      <c r="G367" s="38" t="s">
        <v>19</v>
      </c>
      <c r="H367" s="39">
        <v>21</v>
      </c>
      <c r="I367" s="37" t="s">
        <v>210</v>
      </c>
      <c r="J367" s="38">
        <v>46059</v>
      </c>
      <c r="K367" s="44">
        <v>100</v>
      </c>
      <c r="L367" s="42" t="s">
        <v>20</v>
      </c>
      <c r="N367" s="44">
        <v>100</v>
      </c>
      <c r="P367" s="21">
        <v>46085</v>
      </c>
      <c r="Q367" s="43">
        <f t="shared" si="30"/>
        <v>6</v>
      </c>
      <c r="R367" s="21" t="s">
        <v>99</v>
      </c>
      <c r="S367" s="26">
        <f t="shared" si="31"/>
        <v>11</v>
      </c>
      <c r="T367" s="29" t="str" cm="1">
        <f t="array" aca="1" ref="T367" ca="1">IFERROR(ROUND(CENTILE.SI.ENS($Q$2:$Q$2202,0.5,$E$2:$E$2202,E367,$Q$2:$Q$2202,"&gt;0"),0),"N/D")</f>
        <v>N/D</v>
      </c>
      <c r="U367" s="74">
        <f t="shared" si="32"/>
        <v>46092</v>
      </c>
    </row>
    <row r="368" spans="1:21" ht="11.25" hidden="1" customHeight="1" x14ac:dyDescent="0.2">
      <c r="A368" s="35" t="s">
        <v>55</v>
      </c>
      <c r="B368" s="35">
        <v>46080</v>
      </c>
      <c r="C368" s="35"/>
      <c r="D368" s="36">
        <v>202602005</v>
      </c>
      <c r="E368" s="37" t="s">
        <v>23</v>
      </c>
      <c r="F368" s="37" t="s">
        <v>24</v>
      </c>
      <c r="G368" s="38" t="s">
        <v>19</v>
      </c>
      <c r="H368" s="39">
        <v>21</v>
      </c>
      <c r="I368" s="40" t="s">
        <v>25</v>
      </c>
      <c r="J368" s="38">
        <v>46060</v>
      </c>
      <c r="K368" s="44">
        <v>250</v>
      </c>
      <c r="L368" s="42" t="s">
        <v>20</v>
      </c>
      <c r="N368" s="44">
        <v>250</v>
      </c>
      <c r="P368" s="21">
        <v>46085</v>
      </c>
      <c r="Q368" s="43">
        <f t="shared" si="30"/>
        <v>5</v>
      </c>
      <c r="R368" s="21" t="s">
        <v>99</v>
      </c>
      <c r="S368" s="26">
        <f t="shared" si="31"/>
        <v>11</v>
      </c>
      <c r="T368" s="29" t="str" cm="1">
        <f t="array" aca="1" ref="T368" ca="1">IFERROR(ROUND(CENTILE.SI.ENS($Q$2:$Q$2202,0.5,$E$2:$E$2202,E368,$Q$2:$Q$2202,"&gt;0"),0),"N/D")</f>
        <v>N/D</v>
      </c>
      <c r="U368" s="74">
        <f t="shared" si="32"/>
        <v>46093</v>
      </c>
    </row>
    <row r="369" spans="1:21" ht="11.25" hidden="1" customHeight="1" x14ac:dyDescent="0.2">
      <c r="A369" s="35" t="s">
        <v>55</v>
      </c>
      <c r="B369" s="35">
        <v>46080</v>
      </c>
      <c r="C369" s="35"/>
      <c r="D369" s="36">
        <v>202602013</v>
      </c>
      <c r="E369" s="37" t="s">
        <v>23</v>
      </c>
      <c r="F369" s="37" t="s">
        <v>146</v>
      </c>
      <c r="G369" s="38" t="s">
        <v>19</v>
      </c>
      <c r="H369" s="39">
        <v>21</v>
      </c>
      <c r="I369" s="40" t="s">
        <v>21</v>
      </c>
      <c r="J369" s="38">
        <v>46062</v>
      </c>
      <c r="K369" s="44">
        <v>600</v>
      </c>
      <c r="L369" s="42" t="s">
        <v>20</v>
      </c>
      <c r="N369" s="44">
        <v>600</v>
      </c>
      <c r="P369" s="21">
        <v>46085</v>
      </c>
      <c r="Q369" s="43">
        <f t="shared" si="30"/>
        <v>5</v>
      </c>
      <c r="R369" s="21" t="s">
        <v>99</v>
      </c>
      <c r="S369" s="26">
        <f t="shared" si="31"/>
        <v>11</v>
      </c>
      <c r="T369" s="29"/>
      <c r="U369" s="74">
        <f t="shared" si="32"/>
        <v>46093</v>
      </c>
    </row>
    <row r="370" spans="1:21" ht="11.25" hidden="1" customHeight="1" x14ac:dyDescent="0.2">
      <c r="A370" s="35" t="s">
        <v>55</v>
      </c>
      <c r="B370" s="35">
        <v>46080</v>
      </c>
      <c r="C370" s="35"/>
      <c r="D370" s="36">
        <v>202602023</v>
      </c>
      <c r="E370" s="37" t="s">
        <v>23</v>
      </c>
      <c r="F370" s="37" t="s">
        <v>119</v>
      </c>
      <c r="G370" s="38" t="s">
        <v>19</v>
      </c>
      <c r="H370" s="39">
        <v>21</v>
      </c>
      <c r="I370" s="40" t="s">
        <v>80</v>
      </c>
      <c r="J370" s="38">
        <v>46062</v>
      </c>
      <c r="K370" s="44">
        <v>100</v>
      </c>
      <c r="L370" s="42" t="s">
        <v>20</v>
      </c>
      <c r="N370" s="44">
        <v>100</v>
      </c>
      <c r="P370" s="21">
        <v>46085</v>
      </c>
      <c r="Q370" s="43">
        <f t="shared" si="30"/>
        <v>5</v>
      </c>
      <c r="R370" s="21" t="s">
        <v>99</v>
      </c>
      <c r="S370" s="26">
        <f t="shared" si="31"/>
        <v>11</v>
      </c>
      <c r="T370" s="29" t="str" cm="1">
        <f t="array" aca="1" ref="T370" ca="1">IFERROR(ROUND(CENTILE.SI.ENS($Q$2:$Q$2202,0.5,$E$2:$E$2202,E370,$Q$2:$Q$2202,"&gt;0"),0),"N/D")</f>
        <v>N/D</v>
      </c>
      <c r="U370" s="74">
        <f t="shared" si="32"/>
        <v>46093</v>
      </c>
    </row>
    <row r="371" spans="1:21" ht="11.25" hidden="1" customHeight="1" x14ac:dyDescent="0.2">
      <c r="A371" s="35" t="s">
        <v>55</v>
      </c>
      <c r="B371" s="35">
        <v>46080</v>
      </c>
      <c r="C371" s="35"/>
      <c r="D371" s="36">
        <v>202602024</v>
      </c>
      <c r="E371" s="37" t="s">
        <v>23</v>
      </c>
      <c r="F371" s="37" t="s">
        <v>81</v>
      </c>
      <c r="G371" s="38" t="s">
        <v>19</v>
      </c>
      <c r="H371" s="39">
        <v>21</v>
      </c>
      <c r="I371" s="40" t="s">
        <v>80</v>
      </c>
      <c r="J371" s="38">
        <v>46060</v>
      </c>
      <c r="K371" s="44">
        <v>300</v>
      </c>
      <c r="L371" s="42" t="s">
        <v>20</v>
      </c>
      <c r="N371" s="44">
        <f>1317-100-600-250-100</f>
        <v>267</v>
      </c>
      <c r="P371" s="21">
        <v>46085</v>
      </c>
      <c r="Q371" s="43">
        <f t="shared" si="30"/>
        <v>5</v>
      </c>
      <c r="R371" s="21" t="s">
        <v>99</v>
      </c>
      <c r="S371" s="26">
        <f t="shared" si="31"/>
        <v>11</v>
      </c>
      <c r="T371" s="29"/>
      <c r="U371" s="74">
        <f t="shared" si="32"/>
        <v>46093</v>
      </c>
    </row>
    <row r="372" spans="1:21" ht="11.25" hidden="1" customHeight="1" x14ac:dyDescent="0.2">
      <c r="A372" s="35" t="s">
        <v>55</v>
      </c>
      <c r="B372" s="35">
        <v>46085</v>
      </c>
      <c r="C372" s="35"/>
      <c r="D372" s="36">
        <v>202602018</v>
      </c>
      <c r="E372" s="37" t="s">
        <v>23</v>
      </c>
      <c r="F372" s="37" t="s">
        <v>49</v>
      </c>
      <c r="G372" s="38" t="s">
        <v>19</v>
      </c>
      <c r="H372" s="39">
        <v>21</v>
      </c>
      <c r="I372" s="40" t="s">
        <v>25</v>
      </c>
      <c r="J372" s="38">
        <v>46065</v>
      </c>
      <c r="K372" s="44">
        <v>240</v>
      </c>
      <c r="L372" s="42" t="s">
        <v>20</v>
      </c>
      <c r="N372" s="44">
        <v>240</v>
      </c>
      <c r="P372" s="21">
        <v>46096</v>
      </c>
      <c r="Q372" s="43">
        <f t="shared" ref="Q372:Q438" si="33">IF(P372="","En attente paiement",P372-B372)</f>
        <v>11</v>
      </c>
      <c r="R372" s="21" t="s">
        <v>99</v>
      </c>
      <c r="S372" s="26">
        <f t="shared" si="31"/>
        <v>11</v>
      </c>
      <c r="T372" s="29"/>
      <c r="U372" s="74">
        <f t="shared" si="32"/>
        <v>46098</v>
      </c>
    </row>
    <row r="373" spans="1:21" ht="11.25" hidden="1" customHeight="1" x14ac:dyDescent="0.2">
      <c r="A373" s="35" t="s">
        <v>55</v>
      </c>
      <c r="B373" s="35">
        <v>46090</v>
      </c>
      <c r="C373" s="35"/>
      <c r="D373" s="36">
        <v>202602030</v>
      </c>
      <c r="E373" s="37" t="s">
        <v>23</v>
      </c>
      <c r="F373" s="37" t="s">
        <v>119</v>
      </c>
      <c r="G373" s="38" t="s">
        <v>19</v>
      </c>
      <c r="H373" s="39">
        <v>21</v>
      </c>
      <c r="I373" s="37" t="s">
        <v>80</v>
      </c>
      <c r="J373" s="38">
        <v>46070</v>
      </c>
      <c r="K373" s="44">
        <v>200</v>
      </c>
      <c r="L373" s="42" t="s">
        <v>20</v>
      </c>
      <c r="N373" s="44">
        <v>200</v>
      </c>
      <c r="P373" s="21">
        <v>46096</v>
      </c>
      <c r="Q373" s="43">
        <f t="shared" si="33"/>
        <v>6</v>
      </c>
      <c r="R373" s="21" t="s">
        <v>99</v>
      </c>
      <c r="S373" s="26">
        <f t="shared" si="31"/>
        <v>11</v>
      </c>
      <c r="T373" s="29" t="str" cm="1">
        <f t="array" aca="1" ref="T373" ca="1">IFERROR(ROUND(CENTILE.SI.ENS($Q$2:$Q$2202,0.5,$E$2:$E$2202,E373,$Q$2:$Q$2202,"&gt;0"),0),"N/D")</f>
        <v>N/D</v>
      </c>
      <c r="U373" s="74">
        <f t="shared" si="32"/>
        <v>46103</v>
      </c>
    </row>
    <row r="374" spans="1:21" ht="11.25" hidden="1" customHeight="1" x14ac:dyDescent="0.2">
      <c r="A374" s="35" t="s">
        <v>55</v>
      </c>
      <c r="B374" s="35">
        <v>46093</v>
      </c>
      <c r="C374" s="35"/>
      <c r="D374" s="36">
        <v>202602044</v>
      </c>
      <c r="E374" s="37" t="s">
        <v>23</v>
      </c>
      <c r="F374" s="37" t="s">
        <v>119</v>
      </c>
      <c r="G374" s="38" t="s">
        <v>19</v>
      </c>
      <c r="H374" s="39">
        <v>21</v>
      </c>
      <c r="I374" s="40" t="s">
        <v>41</v>
      </c>
      <c r="J374" s="38">
        <v>46073</v>
      </c>
      <c r="K374" s="44">
        <v>50</v>
      </c>
      <c r="L374" s="42" t="s">
        <v>20</v>
      </c>
      <c r="N374" s="44">
        <v>50</v>
      </c>
      <c r="P374" s="21">
        <v>46096</v>
      </c>
      <c r="Q374" s="43">
        <f t="shared" si="33"/>
        <v>3</v>
      </c>
      <c r="R374" s="21" t="s">
        <v>99</v>
      </c>
      <c r="S374" s="26">
        <f t="shared" si="31"/>
        <v>11</v>
      </c>
      <c r="T374" s="29"/>
      <c r="U374" s="74">
        <f t="shared" si="32"/>
        <v>46106</v>
      </c>
    </row>
    <row r="375" spans="1:21" ht="11.25" hidden="1" customHeight="1" x14ac:dyDescent="0.2">
      <c r="A375" s="35" t="s">
        <v>55</v>
      </c>
      <c r="B375" s="35">
        <v>46094</v>
      </c>
      <c r="C375" s="35"/>
      <c r="D375" s="36">
        <v>202602032</v>
      </c>
      <c r="E375" s="37" t="s">
        <v>23</v>
      </c>
      <c r="F375" s="37" t="s">
        <v>24</v>
      </c>
      <c r="G375" s="38" t="s">
        <v>19</v>
      </c>
      <c r="H375" s="39">
        <v>21</v>
      </c>
      <c r="I375" s="40" t="s">
        <v>25</v>
      </c>
      <c r="J375" s="38">
        <v>46075</v>
      </c>
      <c r="K375" s="44">
        <v>210</v>
      </c>
      <c r="L375" s="42" t="s">
        <v>20</v>
      </c>
      <c r="N375" s="44">
        <v>210</v>
      </c>
      <c r="P375" s="21">
        <v>46096</v>
      </c>
      <c r="Q375" s="43">
        <f t="shared" si="33"/>
        <v>2</v>
      </c>
      <c r="R375" s="21" t="s">
        <v>99</v>
      </c>
      <c r="S375" s="26">
        <f t="shared" si="31"/>
        <v>11</v>
      </c>
      <c r="T375" s="29"/>
      <c r="U375" s="74">
        <f t="shared" si="32"/>
        <v>46107</v>
      </c>
    </row>
    <row r="376" spans="1:21" ht="11.25" hidden="1" customHeight="1" x14ac:dyDescent="0.2">
      <c r="A376" s="35" t="s">
        <v>55</v>
      </c>
      <c r="B376" s="35">
        <v>46099</v>
      </c>
      <c r="C376" s="35"/>
      <c r="D376" s="36">
        <v>202602047</v>
      </c>
      <c r="E376" s="37" t="s">
        <v>23</v>
      </c>
      <c r="F376" s="37" t="s">
        <v>49</v>
      </c>
      <c r="G376" s="38" t="s">
        <v>19</v>
      </c>
      <c r="H376" s="39">
        <v>21</v>
      </c>
      <c r="I376" s="40" t="s">
        <v>25</v>
      </c>
      <c r="J376" s="38">
        <v>46079</v>
      </c>
      <c r="K376" s="44">
        <v>240</v>
      </c>
      <c r="L376" s="42" t="s">
        <v>20</v>
      </c>
      <c r="N376" s="44">
        <f>1047-210-50-200-240-200</f>
        <v>147</v>
      </c>
      <c r="P376" s="21">
        <v>46096</v>
      </c>
      <c r="Q376" s="43">
        <f t="shared" si="33"/>
        <v>-3</v>
      </c>
      <c r="R376" s="21" t="s">
        <v>99</v>
      </c>
      <c r="S376" s="26">
        <f t="shared" si="31"/>
        <v>11</v>
      </c>
      <c r="T376" s="29"/>
      <c r="U376" s="74">
        <f t="shared" si="32"/>
        <v>46112</v>
      </c>
    </row>
    <row r="377" spans="1:21" ht="11.25" hidden="1" customHeight="1" x14ac:dyDescent="0.2">
      <c r="A377" s="5" t="s">
        <v>55</v>
      </c>
      <c r="B377" s="5">
        <v>46101</v>
      </c>
      <c r="D377" s="6">
        <v>202602041</v>
      </c>
      <c r="E377" s="7" t="s">
        <v>23</v>
      </c>
      <c r="F377" s="7" t="s">
        <v>236</v>
      </c>
      <c r="G377" s="8" t="s">
        <v>22</v>
      </c>
      <c r="H377" s="9">
        <v>30</v>
      </c>
      <c r="I377" s="10" t="s">
        <v>237</v>
      </c>
      <c r="J377" s="13">
        <v>46072</v>
      </c>
      <c r="K377" s="14">
        <v>42931.94</v>
      </c>
      <c r="L377" s="15" t="s">
        <v>34</v>
      </c>
      <c r="N377" s="44"/>
      <c r="P377" s="21">
        <v>46111</v>
      </c>
      <c r="Q377" s="43">
        <f t="shared" si="33"/>
        <v>10</v>
      </c>
      <c r="R377" s="22">
        <v>46119</v>
      </c>
      <c r="S377" s="26">
        <f t="shared" si="31"/>
        <v>11</v>
      </c>
      <c r="T377" s="29" t="str" cm="1">
        <f t="array" aca="1" ref="T377" ca="1">IFERROR(ROUND(CENTILE.SI.ENS($Q$2:$Q$2202,0.5,$E$2:$E$2202,E377,$Q$2:$Q$2202,"&gt;0"),0),"N/D")</f>
        <v>N/D</v>
      </c>
      <c r="U377" s="74">
        <f t="shared" si="32"/>
        <v>46114</v>
      </c>
    </row>
    <row r="378" spans="1:21" ht="11.25" hidden="1" customHeight="1" x14ac:dyDescent="0.2">
      <c r="A378" s="35" t="s">
        <v>55</v>
      </c>
      <c r="B378" s="35">
        <v>46105</v>
      </c>
      <c r="C378" s="35"/>
      <c r="D378" s="36">
        <v>202603001</v>
      </c>
      <c r="E378" s="37" t="s">
        <v>23</v>
      </c>
      <c r="F378" s="37" t="s">
        <v>29</v>
      </c>
      <c r="G378" s="38" t="s">
        <v>19</v>
      </c>
      <c r="H378" s="39">
        <v>21</v>
      </c>
      <c r="I378" s="40" t="s">
        <v>25</v>
      </c>
      <c r="J378" s="38">
        <v>46085</v>
      </c>
      <c r="K378" s="44">
        <v>140</v>
      </c>
      <c r="L378" s="42" t="s">
        <v>20</v>
      </c>
      <c r="N378" s="44">
        <f>140-15</f>
        <v>125</v>
      </c>
      <c r="P378" s="21">
        <v>46096</v>
      </c>
      <c r="Q378" s="43">
        <f t="shared" si="33"/>
        <v>-9</v>
      </c>
      <c r="R378" s="21" t="s">
        <v>99</v>
      </c>
      <c r="S378" s="26">
        <f t="shared" si="31"/>
        <v>11</v>
      </c>
      <c r="T378" s="29"/>
      <c r="U378" s="74">
        <f t="shared" si="32"/>
        <v>46118</v>
      </c>
    </row>
    <row r="379" spans="1:21" ht="11.25" hidden="1" customHeight="1" x14ac:dyDescent="0.2">
      <c r="A379" s="5" t="s">
        <v>55</v>
      </c>
      <c r="B379" s="5">
        <v>46108</v>
      </c>
      <c r="D379" s="6">
        <v>202602051</v>
      </c>
      <c r="E379" s="7" t="s">
        <v>23</v>
      </c>
      <c r="F379" s="7" t="s">
        <v>236</v>
      </c>
      <c r="G379" s="8" t="s">
        <v>22</v>
      </c>
      <c r="H379" s="9">
        <v>30</v>
      </c>
      <c r="I379" s="10" t="s">
        <v>245</v>
      </c>
      <c r="J379" s="13">
        <v>46080</v>
      </c>
      <c r="K379" s="14">
        <v>28800</v>
      </c>
      <c r="L379" s="15" t="s">
        <v>34</v>
      </c>
      <c r="N379" s="44"/>
      <c r="P379" s="21">
        <v>46111</v>
      </c>
      <c r="Q379" s="43">
        <f t="shared" si="33"/>
        <v>3</v>
      </c>
      <c r="R379" s="22">
        <v>46108</v>
      </c>
      <c r="S379" s="26">
        <f t="shared" si="31"/>
        <v>11</v>
      </c>
      <c r="T379" s="29"/>
      <c r="U379" s="74">
        <f t="shared" si="32"/>
        <v>46121</v>
      </c>
    </row>
    <row r="380" spans="1:21" ht="11.25" hidden="1" customHeight="1" x14ac:dyDescent="0.2">
      <c r="A380" s="5" t="s">
        <v>55</v>
      </c>
      <c r="B380" s="5">
        <v>46108</v>
      </c>
      <c r="D380" s="6">
        <v>202603006</v>
      </c>
      <c r="E380" s="7" t="s">
        <v>23</v>
      </c>
      <c r="F380" s="7" t="s">
        <v>24</v>
      </c>
      <c r="G380" s="8" t="s">
        <v>19</v>
      </c>
      <c r="H380" s="9">
        <v>21</v>
      </c>
      <c r="I380" s="10" t="s">
        <v>25</v>
      </c>
      <c r="J380" s="13">
        <v>46090</v>
      </c>
      <c r="K380" s="14">
        <v>230</v>
      </c>
      <c r="L380" s="15" t="s">
        <v>20</v>
      </c>
      <c r="N380" s="44"/>
      <c r="P380" s="21">
        <v>46126</v>
      </c>
      <c r="Q380" s="43">
        <f t="shared" si="33"/>
        <v>18</v>
      </c>
      <c r="R380" s="22" t="s">
        <v>99</v>
      </c>
      <c r="S380" s="26">
        <f t="shared" si="31"/>
        <v>11</v>
      </c>
      <c r="T380" s="29"/>
      <c r="U380" s="74">
        <f t="shared" si="32"/>
        <v>46121</v>
      </c>
    </row>
    <row r="381" spans="1:21" ht="11.25" hidden="1" customHeight="1" x14ac:dyDescent="0.2">
      <c r="A381" s="5" t="s">
        <v>55</v>
      </c>
      <c r="B381" s="5">
        <v>46111</v>
      </c>
      <c r="D381" s="6">
        <v>202603020</v>
      </c>
      <c r="E381" s="7" t="s">
        <v>23</v>
      </c>
      <c r="F381" s="7" t="s">
        <v>286</v>
      </c>
      <c r="G381" s="8" t="s">
        <v>19</v>
      </c>
      <c r="H381" s="9">
        <v>21</v>
      </c>
      <c r="I381" s="10" t="s">
        <v>41</v>
      </c>
      <c r="J381" s="13">
        <v>46091</v>
      </c>
      <c r="K381" s="14">
        <v>200</v>
      </c>
      <c r="L381" s="15" t="s">
        <v>20</v>
      </c>
      <c r="N381" s="44"/>
      <c r="P381" s="21">
        <v>46126</v>
      </c>
      <c r="Q381" s="43">
        <f t="shared" si="33"/>
        <v>15</v>
      </c>
      <c r="R381" s="22" t="s">
        <v>99</v>
      </c>
      <c r="S381" s="26">
        <f t="shared" si="31"/>
        <v>11</v>
      </c>
      <c r="T381" s="29" t="str" cm="1">
        <f t="array" aca="1" ref="T381" ca="1">IFERROR(ROUND(CENTILE.SI.ENS($Q$2:$Q$2202,0.5,$E$2:$E$2202,E381,$Q$2:$Q$2202,"&gt;0"),0),"N/D")</f>
        <v>N/D</v>
      </c>
      <c r="U381" s="74">
        <f t="shared" si="32"/>
        <v>46124</v>
      </c>
    </row>
    <row r="382" spans="1:21" ht="11.25" hidden="1" customHeight="1" x14ac:dyDescent="0.2">
      <c r="A382" s="5" t="s">
        <v>55</v>
      </c>
      <c r="B382" s="5">
        <v>46114</v>
      </c>
      <c r="D382" s="6">
        <v>202603018</v>
      </c>
      <c r="E382" s="7" t="s">
        <v>23</v>
      </c>
      <c r="F382" s="7" t="s">
        <v>49</v>
      </c>
      <c r="G382" s="8" t="s">
        <v>19</v>
      </c>
      <c r="H382" s="9">
        <v>21</v>
      </c>
      <c r="I382" s="10" t="s">
        <v>25</v>
      </c>
      <c r="J382" s="13">
        <v>46094</v>
      </c>
      <c r="K382" s="14">
        <v>220</v>
      </c>
      <c r="L382" s="15" t="s">
        <v>20</v>
      </c>
      <c r="N382" s="44"/>
      <c r="P382" s="21">
        <v>46126</v>
      </c>
      <c r="Q382" s="43">
        <f t="shared" si="33"/>
        <v>12</v>
      </c>
      <c r="R382" s="22" t="s">
        <v>99</v>
      </c>
      <c r="S382" s="26">
        <f t="shared" si="31"/>
        <v>11</v>
      </c>
      <c r="T382" s="29" t="str" cm="1">
        <f t="array" aca="1" ref="T382" ca="1">IFERROR(ROUND(CENTILE.SI.ENS($Q$2:$Q$2202,0.5,$E$2:$E$2202,E382,$Q$2:$Q$2202,"&gt;0"),0),"N/D")</f>
        <v>N/D</v>
      </c>
      <c r="U382" s="74">
        <f t="shared" si="32"/>
        <v>46127</v>
      </c>
    </row>
    <row r="383" spans="1:21" ht="11.25" hidden="1" customHeight="1" x14ac:dyDescent="0.2">
      <c r="A383" s="5" t="s">
        <v>55</v>
      </c>
      <c r="B383" s="5">
        <v>46120</v>
      </c>
      <c r="D383" s="6">
        <v>202603028</v>
      </c>
      <c r="E383" s="7" t="s">
        <v>23</v>
      </c>
      <c r="F383" s="7" t="s">
        <v>29</v>
      </c>
      <c r="G383" s="8" t="s">
        <v>19</v>
      </c>
      <c r="H383" s="9">
        <v>21</v>
      </c>
      <c r="I383" s="10" t="s">
        <v>25</v>
      </c>
      <c r="J383" s="13">
        <v>46100</v>
      </c>
      <c r="K383" s="14">
        <v>210</v>
      </c>
      <c r="L383" s="15" t="s">
        <v>20</v>
      </c>
      <c r="N383" s="44"/>
      <c r="P383" s="21">
        <v>46126</v>
      </c>
      <c r="Q383" s="43">
        <f t="shared" si="33"/>
        <v>6</v>
      </c>
      <c r="R383" s="22" t="s">
        <v>99</v>
      </c>
      <c r="S383" s="26">
        <f t="shared" si="31"/>
        <v>11</v>
      </c>
      <c r="T383" s="29" t="str" cm="1">
        <f t="array" aca="1" ref="T383" ca="1">IFERROR(ROUND(CENTILE.SI.ENS($Q$2:$Q$2202,0.5,$E$2:$E$2202,E383,$Q$2:$Q$2202,"&gt;0"),0),"N/D")</f>
        <v>N/D</v>
      </c>
      <c r="U383" s="74">
        <f t="shared" si="32"/>
        <v>46133</v>
      </c>
    </row>
    <row r="384" spans="1:21" ht="11.25" hidden="1" customHeight="1" x14ac:dyDescent="0.2">
      <c r="A384" s="5" t="s">
        <v>55</v>
      </c>
      <c r="B384" s="5">
        <v>46122</v>
      </c>
      <c r="D384" s="6">
        <v>202603035</v>
      </c>
      <c r="E384" s="7" t="s">
        <v>23</v>
      </c>
      <c r="F384" s="7" t="s">
        <v>24</v>
      </c>
      <c r="G384" s="8" t="s">
        <v>19</v>
      </c>
      <c r="H384" s="9">
        <v>21</v>
      </c>
      <c r="I384" s="10" t="s">
        <v>25</v>
      </c>
      <c r="J384" s="13">
        <v>46104</v>
      </c>
      <c r="K384" s="14">
        <v>220</v>
      </c>
      <c r="L384" s="15" t="s">
        <v>20</v>
      </c>
      <c r="N384" s="44"/>
      <c r="P384" s="21">
        <v>46126</v>
      </c>
      <c r="Q384" s="43">
        <f t="shared" si="33"/>
        <v>4</v>
      </c>
      <c r="R384" s="21" t="s">
        <v>99</v>
      </c>
      <c r="S384" s="26">
        <f t="shared" si="31"/>
        <v>11</v>
      </c>
      <c r="T384" s="29" t="str" cm="1">
        <f t="array" aca="1" ref="T384" ca="1">IFERROR(ROUND(CENTILE.SI.ENS($Q$2:$Q$2202,0.5,$E$2:$E$2202,E384,$Q$2:$Q$2202,"&gt;0"),0),"N/D")</f>
        <v>N/D</v>
      </c>
      <c r="U384" s="74">
        <f t="shared" si="32"/>
        <v>46135</v>
      </c>
    </row>
    <row r="385" spans="1:21" ht="11.25" hidden="1" customHeight="1" x14ac:dyDescent="0.2">
      <c r="A385" s="5" t="s">
        <v>55</v>
      </c>
      <c r="B385" s="5">
        <v>46164</v>
      </c>
      <c r="D385" s="6">
        <v>202605001</v>
      </c>
      <c r="E385" s="7" t="s">
        <v>23</v>
      </c>
      <c r="F385" s="7" t="s">
        <v>29</v>
      </c>
      <c r="G385" s="8" t="s">
        <v>19</v>
      </c>
      <c r="H385" s="9">
        <v>21</v>
      </c>
      <c r="I385" s="7" t="s">
        <v>25</v>
      </c>
      <c r="J385" s="13">
        <v>46145</v>
      </c>
      <c r="K385" s="14">
        <v>200</v>
      </c>
      <c r="L385" s="15" t="s">
        <v>20</v>
      </c>
      <c r="N385" s="44"/>
      <c r="P385" s="21">
        <v>46170</v>
      </c>
      <c r="Q385" s="43">
        <f t="shared" si="33"/>
        <v>6</v>
      </c>
      <c r="S385" s="26">
        <f t="shared" si="31"/>
        <v>11</v>
      </c>
      <c r="T385" s="29" t="str" cm="1">
        <f t="array" aca="1" ref="T385" ca="1">IFERROR(ROUND(CENTILE.SI.ENS($Q$2:$Q$2202,0.5,$E$2:$E$2202,E385,$Q$2:$Q$2202,"&gt;0"),0),"N/D")</f>
        <v>N/D</v>
      </c>
      <c r="U385" s="74">
        <f t="shared" si="32"/>
        <v>46177</v>
      </c>
    </row>
    <row r="386" spans="1:21" ht="11.25" hidden="1" customHeight="1" x14ac:dyDescent="0.2">
      <c r="A386" s="5" t="s">
        <v>55</v>
      </c>
      <c r="B386" s="5">
        <v>46167</v>
      </c>
      <c r="D386" s="6">
        <v>202605003</v>
      </c>
      <c r="E386" s="7" t="s">
        <v>23</v>
      </c>
      <c r="F386" s="7" t="s">
        <v>49</v>
      </c>
      <c r="G386" s="8" t="s">
        <v>19</v>
      </c>
      <c r="H386" s="9">
        <v>21</v>
      </c>
      <c r="I386" s="7" t="s">
        <v>25</v>
      </c>
      <c r="J386" s="13">
        <v>46147</v>
      </c>
      <c r="K386" s="14">
        <v>140</v>
      </c>
      <c r="L386" s="15" t="s">
        <v>20</v>
      </c>
      <c r="N386" s="44"/>
      <c r="P386" s="21">
        <v>46170</v>
      </c>
      <c r="Q386" s="43">
        <f t="shared" si="33"/>
        <v>3</v>
      </c>
      <c r="S386" s="26">
        <f t="shared" si="31"/>
        <v>11</v>
      </c>
      <c r="T386" s="29" t="str" cm="1">
        <f t="array" aca="1" ref="T386" ca="1">IFERROR(ROUND(CENTILE.SI.ENS($Q$2:$Q$2202,0.5,$E$2:$E$2202,E386,$Q$2:$Q$2202,"&gt;0"),0),"N/D")</f>
        <v>N/D</v>
      </c>
      <c r="U386" s="74">
        <f t="shared" si="32"/>
        <v>46180</v>
      </c>
    </row>
    <row r="387" spans="1:21" ht="11.25" hidden="1" customHeight="1" x14ac:dyDescent="0.2">
      <c r="A387" s="5" t="s">
        <v>55</v>
      </c>
      <c r="B387" s="5">
        <v>46167</v>
      </c>
      <c r="D387" s="6">
        <v>202605017</v>
      </c>
      <c r="E387" s="7" t="s">
        <v>23</v>
      </c>
      <c r="F387" s="7" t="s">
        <v>423</v>
      </c>
      <c r="G387" s="8" t="s">
        <v>19</v>
      </c>
      <c r="H387" s="9">
        <v>21</v>
      </c>
      <c r="I387" s="7" t="s">
        <v>316</v>
      </c>
      <c r="J387" s="13">
        <v>46147</v>
      </c>
      <c r="K387" s="14">
        <v>360</v>
      </c>
      <c r="L387" s="15" t="s">
        <v>20</v>
      </c>
      <c r="N387" s="44"/>
      <c r="P387" s="21">
        <v>46170</v>
      </c>
      <c r="Q387" s="43">
        <f t="shared" si="33"/>
        <v>3</v>
      </c>
      <c r="S387" s="26">
        <f t="shared" si="31"/>
        <v>11</v>
      </c>
      <c r="T387" s="29" t="str" cm="1">
        <f t="array" aca="1" ref="T387" ca="1">IFERROR(ROUND(CENTILE.SI.ENS($Q$2:$Q$2202,0.5,$E$2:$E$2202,E387,$Q$2:$Q$2202,"&gt;0"),0),"N/D")</f>
        <v>N/D</v>
      </c>
      <c r="U387" s="74">
        <f t="shared" si="32"/>
        <v>46180</v>
      </c>
    </row>
    <row r="388" spans="1:21" ht="11.25" hidden="1" customHeight="1" x14ac:dyDescent="0.2">
      <c r="A388" s="5" t="s">
        <v>55</v>
      </c>
      <c r="B388" s="5">
        <v>46178</v>
      </c>
      <c r="D388" s="6">
        <v>202605018</v>
      </c>
      <c r="E388" s="7" t="s">
        <v>23</v>
      </c>
      <c r="F388" s="7" t="s">
        <v>29</v>
      </c>
      <c r="G388" s="8" t="s">
        <v>19</v>
      </c>
      <c r="H388" s="9">
        <v>21</v>
      </c>
      <c r="I388" s="7" t="s">
        <v>25</v>
      </c>
      <c r="J388" s="13">
        <v>46160</v>
      </c>
      <c r="K388" s="14">
        <v>220</v>
      </c>
      <c r="L388" s="15" t="s">
        <v>20</v>
      </c>
      <c r="M388" s="16"/>
      <c r="N388" s="44"/>
      <c r="O388" s="17"/>
      <c r="P388" s="21">
        <v>46210</v>
      </c>
      <c r="Q388" s="43">
        <f t="shared" si="33"/>
        <v>32</v>
      </c>
      <c r="S388" s="26">
        <f t="shared" si="31"/>
        <v>11</v>
      </c>
      <c r="T388" s="29" t="str" cm="1">
        <f t="array" aca="1" ref="T388" ca="1">IFERROR(ROUND(CENTILE.SI.ENS($Q$2:$Q$2202,0.5,$E$2:$E$2202,E388,$Q$2:$Q$2202,"&gt;0"),0),"N/D")</f>
        <v>N/D</v>
      </c>
      <c r="U388" s="74">
        <f t="shared" si="32"/>
        <v>46191</v>
      </c>
    </row>
    <row r="389" spans="1:21" ht="11.25" hidden="1" customHeight="1" x14ac:dyDescent="0.2">
      <c r="A389" s="5" t="s">
        <v>55</v>
      </c>
      <c r="B389" s="5">
        <v>46184</v>
      </c>
      <c r="D389" s="6">
        <v>202605037</v>
      </c>
      <c r="E389" s="7" t="s">
        <v>23</v>
      </c>
      <c r="F389" s="7" t="s">
        <v>388</v>
      </c>
      <c r="G389" s="8" t="s">
        <v>19</v>
      </c>
      <c r="H389" s="9">
        <v>21</v>
      </c>
      <c r="I389" s="7" t="s">
        <v>389</v>
      </c>
      <c r="J389" s="13">
        <v>46164</v>
      </c>
      <c r="K389" s="14">
        <v>1000</v>
      </c>
      <c r="L389" s="15" t="s">
        <v>20</v>
      </c>
      <c r="M389" s="16"/>
      <c r="N389" s="44"/>
      <c r="O389" s="17"/>
      <c r="P389" s="21">
        <v>46210</v>
      </c>
      <c r="Q389" s="43">
        <f t="shared" si="33"/>
        <v>26</v>
      </c>
      <c r="S389" s="26">
        <f t="shared" si="31"/>
        <v>11</v>
      </c>
      <c r="T389" s="29" t="str" cm="1">
        <f t="array" aca="1" ref="T389" ca="1">IFERROR(ROUND(CENTILE.SI.ENS($Q$2:$Q$2202,0.5,$E$2:$E$2202,E389,$Q$2:$Q$2202,"&gt;0"),0),"N/D")</f>
        <v>N/D</v>
      </c>
      <c r="U389" s="74">
        <f t="shared" si="32"/>
        <v>46197</v>
      </c>
    </row>
    <row r="390" spans="1:21" ht="11.25" hidden="1" customHeight="1" x14ac:dyDescent="0.2">
      <c r="A390" s="5" t="s">
        <v>55</v>
      </c>
      <c r="B390" s="5">
        <v>46196</v>
      </c>
      <c r="D390" s="6">
        <v>202606001</v>
      </c>
      <c r="E390" s="7" t="s">
        <v>23</v>
      </c>
      <c r="F390" s="7" t="s">
        <v>29</v>
      </c>
      <c r="G390" s="8" t="s">
        <v>19</v>
      </c>
      <c r="H390" s="9">
        <v>21</v>
      </c>
      <c r="I390" s="7" t="s">
        <v>25</v>
      </c>
      <c r="J390" s="13">
        <v>46176</v>
      </c>
      <c r="K390" s="14">
        <v>200</v>
      </c>
      <c r="L390" s="15" t="s">
        <v>20</v>
      </c>
      <c r="M390" s="16"/>
      <c r="N390" s="44"/>
      <c r="O390" s="17"/>
      <c r="P390" s="21">
        <v>46210</v>
      </c>
      <c r="Q390" s="43">
        <f t="shared" si="33"/>
        <v>14</v>
      </c>
      <c r="S390" s="26"/>
      <c r="T390" s="29"/>
      <c r="U390" s="74"/>
    </row>
    <row r="391" spans="1:21" ht="11.25" hidden="1" customHeight="1" x14ac:dyDescent="0.2">
      <c r="A391" s="5" t="s">
        <v>55</v>
      </c>
      <c r="B391" s="5">
        <v>46196</v>
      </c>
      <c r="D391" s="6">
        <v>202606012</v>
      </c>
      <c r="E391" s="7" t="s">
        <v>23</v>
      </c>
      <c r="F391" s="7" t="s">
        <v>456</v>
      </c>
      <c r="G391" s="8" t="s">
        <v>19</v>
      </c>
      <c r="H391" s="9">
        <v>21</v>
      </c>
      <c r="I391" s="7" t="s">
        <v>41</v>
      </c>
      <c r="J391" s="13">
        <v>46176</v>
      </c>
      <c r="K391" s="14">
        <v>500</v>
      </c>
      <c r="L391" s="15" t="s">
        <v>20</v>
      </c>
      <c r="M391" s="16"/>
      <c r="N391" s="44"/>
      <c r="O391" s="17"/>
      <c r="P391" s="21">
        <v>46210</v>
      </c>
      <c r="Q391" s="43">
        <f t="shared" si="33"/>
        <v>14</v>
      </c>
      <c r="S391" s="26">
        <f t="shared" ref="S391:S454" si="34">IFERROR(ROUND(AVERAGEIF($E$2:$E$2202,E391,$Q$2:$Q$2202),0),"N/D")</f>
        <v>11</v>
      </c>
      <c r="T391" s="29" t="str" cm="1">
        <f t="array" aca="1" ref="T391" ca="1">IFERROR(ROUND(CENTILE.SI.ENS($Q$2:$Q$2202,0.5,$E$2:$E$2202,E391,$Q$2:$Q$2202,"&gt;0"),0),"N/D")</f>
        <v>N/D</v>
      </c>
      <c r="U391" s="74">
        <f t="shared" ref="U391:U454" si="35">IFERROR(B391+ROUNDUP(AVERAGEIF($E$2:$E$2202,E391,$Q$2:$Q$2202)*1.2,0),"N/D")</f>
        <v>46209</v>
      </c>
    </row>
    <row r="392" spans="1:21" ht="11.25" hidden="1" customHeight="1" x14ac:dyDescent="0.2">
      <c r="A392" s="5" t="s">
        <v>55</v>
      </c>
      <c r="B392" s="5">
        <v>46197</v>
      </c>
      <c r="D392" s="6">
        <v>202606004</v>
      </c>
      <c r="E392" s="7" t="s">
        <v>23</v>
      </c>
      <c r="F392" s="7" t="s">
        <v>49</v>
      </c>
      <c r="G392" s="8" t="s">
        <v>19</v>
      </c>
      <c r="H392" s="9">
        <v>21</v>
      </c>
      <c r="I392" s="7" t="s">
        <v>25</v>
      </c>
      <c r="J392" s="13">
        <v>46177</v>
      </c>
      <c r="K392" s="14">
        <v>210</v>
      </c>
      <c r="L392" s="15" t="s">
        <v>20</v>
      </c>
      <c r="M392" s="16"/>
      <c r="N392" s="44"/>
      <c r="O392" s="17"/>
      <c r="P392" s="21">
        <v>46210</v>
      </c>
      <c r="Q392" s="43">
        <f t="shared" si="33"/>
        <v>13</v>
      </c>
      <c r="S392" s="26">
        <f t="shared" si="34"/>
        <v>11</v>
      </c>
      <c r="T392" s="29" t="str" cm="1">
        <f t="array" aca="1" ref="T392" ca="1">IFERROR(ROUND(CENTILE.SI.ENS($Q$2:$Q$2202,0.5,$E$2:$E$2202,E392,$Q$2:$Q$2202,"&gt;0"),0),"N/D")</f>
        <v>N/D</v>
      </c>
      <c r="U392" s="74">
        <f t="shared" si="35"/>
        <v>46210</v>
      </c>
    </row>
    <row r="393" spans="1:21" ht="11.25" hidden="1" customHeight="1" x14ac:dyDescent="0.2">
      <c r="A393" s="5" t="s">
        <v>55</v>
      </c>
      <c r="B393" s="5">
        <v>46199</v>
      </c>
      <c r="D393" s="6">
        <v>202606007</v>
      </c>
      <c r="E393" s="7" t="s">
        <v>23</v>
      </c>
      <c r="F393" s="7" t="s">
        <v>24</v>
      </c>
      <c r="G393" s="8" t="s">
        <v>19</v>
      </c>
      <c r="H393" s="9">
        <v>21</v>
      </c>
      <c r="I393" s="7" t="s">
        <v>25</v>
      </c>
      <c r="J393" s="13">
        <v>46181</v>
      </c>
      <c r="K393" s="14">
        <v>230</v>
      </c>
      <c r="L393" s="15" t="s">
        <v>20</v>
      </c>
      <c r="M393" s="16"/>
      <c r="N393" s="44"/>
      <c r="O393" s="17"/>
      <c r="P393" s="21">
        <v>46210</v>
      </c>
      <c r="Q393" s="43">
        <f t="shared" si="33"/>
        <v>11</v>
      </c>
      <c r="S393" s="26">
        <f t="shared" si="34"/>
        <v>11</v>
      </c>
      <c r="T393" s="29" t="str" cm="1">
        <f t="array" aca="1" ref="T393" ca="1">IFERROR(ROUND(CENTILE.SI.ENS($Q$2:$Q$2202,0.5,$E$2:$E$2202,E393,$Q$2:$Q$2202,"&gt;0"),0),"N/D")</f>
        <v>N/D</v>
      </c>
      <c r="U393" s="74">
        <f t="shared" si="35"/>
        <v>46212</v>
      </c>
    </row>
    <row r="394" spans="1:21" ht="11.25" hidden="1" customHeight="1" x14ac:dyDescent="0.2">
      <c r="A394" s="5" t="s">
        <v>55</v>
      </c>
      <c r="B394" s="5">
        <v>46211</v>
      </c>
      <c r="D394" s="6">
        <v>202606024</v>
      </c>
      <c r="E394" s="7" t="s">
        <v>23</v>
      </c>
      <c r="F394" s="7" t="s">
        <v>29</v>
      </c>
      <c r="G394" s="8" t="s">
        <v>19</v>
      </c>
      <c r="H394" s="9">
        <v>21</v>
      </c>
      <c r="I394" s="7" t="s">
        <v>25</v>
      </c>
      <c r="J394" s="13">
        <v>46191</v>
      </c>
      <c r="K394" s="14">
        <v>220</v>
      </c>
      <c r="L394" s="15" t="s">
        <v>20</v>
      </c>
      <c r="M394" s="16"/>
      <c r="N394" s="44"/>
      <c r="O394" s="17"/>
      <c r="P394" s="21">
        <v>46239</v>
      </c>
      <c r="Q394" s="43">
        <f t="shared" si="33"/>
        <v>28</v>
      </c>
      <c r="S394" s="26">
        <f t="shared" si="34"/>
        <v>11</v>
      </c>
      <c r="T394" s="29" t="str" cm="1">
        <f t="array" aca="1" ref="T394" ca="1">IFERROR(ROUND(CENTILE.SI.ENS($Q$2:$Q$2202,0.5,$E$2:$E$2202,E394,$Q$2:$Q$2202,"&gt;0"),0),"N/D")</f>
        <v>N/D</v>
      </c>
      <c r="U394" s="74">
        <f t="shared" si="35"/>
        <v>46224</v>
      </c>
    </row>
    <row r="395" spans="1:21" ht="11.25" hidden="1" customHeight="1" x14ac:dyDescent="0.2">
      <c r="A395" s="5" t="s">
        <v>55</v>
      </c>
      <c r="B395" s="5">
        <v>46211</v>
      </c>
      <c r="D395" s="6">
        <v>202606028</v>
      </c>
      <c r="E395" s="7" t="s">
        <v>23</v>
      </c>
      <c r="F395" s="7" t="s">
        <v>476</v>
      </c>
      <c r="G395" s="8" t="s">
        <v>19</v>
      </c>
      <c r="H395" s="9">
        <v>21</v>
      </c>
      <c r="I395" s="7" t="s">
        <v>210</v>
      </c>
      <c r="J395" s="13">
        <v>46191</v>
      </c>
      <c r="K395" s="14">
        <v>100</v>
      </c>
      <c r="L395" s="15" t="s">
        <v>20</v>
      </c>
      <c r="M395" s="16"/>
      <c r="N395" s="44"/>
      <c r="O395" s="17"/>
      <c r="P395" s="21">
        <v>46239</v>
      </c>
      <c r="Q395" s="43">
        <f t="shared" si="33"/>
        <v>28</v>
      </c>
      <c r="S395" s="26">
        <f t="shared" si="34"/>
        <v>11</v>
      </c>
      <c r="T395" s="29" t="str" cm="1">
        <f t="array" aca="1" ref="T395" ca="1">IFERROR(ROUND(CENTILE.SI.ENS($Q$2:$Q$2202,0.5,$E$2:$E$2202,E395,$Q$2:$Q$2202,"&gt;0"),0),"N/D")</f>
        <v>N/D</v>
      </c>
      <c r="U395" s="74">
        <f t="shared" si="35"/>
        <v>46224</v>
      </c>
    </row>
    <row r="396" spans="1:21" ht="11.25" hidden="1" customHeight="1" x14ac:dyDescent="0.25">
      <c r="A396" s="5" t="s">
        <v>55</v>
      </c>
      <c r="B396" s="5">
        <v>46213</v>
      </c>
      <c r="D396" s="6">
        <v>202606029</v>
      </c>
      <c r="E396" s="7" t="s">
        <v>23</v>
      </c>
      <c r="F396" s="7" t="s">
        <v>49</v>
      </c>
      <c r="G396" s="8" t="s">
        <v>19</v>
      </c>
      <c r="H396" s="9">
        <v>21</v>
      </c>
      <c r="I396" s="7" t="s">
        <v>25</v>
      </c>
      <c r="J396" s="13">
        <v>46193</v>
      </c>
      <c r="K396" s="14">
        <v>210</v>
      </c>
      <c r="L396" s="15" t="s">
        <v>20</v>
      </c>
      <c r="M396" s="46"/>
      <c r="N396" s="44"/>
      <c r="O396" s="17"/>
      <c r="P396" s="21">
        <v>46239</v>
      </c>
      <c r="Q396" s="43">
        <f t="shared" si="33"/>
        <v>26</v>
      </c>
      <c r="S396" s="26">
        <f t="shared" si="34"/>
        <v>11</v>
      </c>
      <c r="T396" s="29" t="str" cm="1">
        <f t="array" aca="1" ref="T396" ca="1">IFERROR(ROUND(CENTILE.SI.ENS($Q$2:$Q$2202,0.5,$E$2:$E$2202,E396,$Q$2:$Q$2202,"&gt;0"),0),"N/D")</f>
        <v>N/D</v>
      </c>
      <c r="U396" s="74">
        <f t="shared" si="35"/>
        <v>46226</v>
      </c>
    </row>
    <row r="397" spans="1:21" ht="11.25" hidden="1" customHeight="1" x14ac:dyDescent="0.25">
      <c r="A397" s="5" t="s">
        <v>55</v>
      </c>
      <c r="B397" s="5">
        <v>46216</v>
      </c>
      <c r="D397" s="6">
        <v>202606033</v>
      </c>
      <c r="E397" s="7" t="s">
        <v>23</v>
      </c>
      <c r="F397" s="7" t="s">
        <v>24</v>
      </c>
      <c r="G397" s="8" t="s">
        <v>19</v>
      </c>
      <c r="H397" s="9">
        <v>21</v>
      </c>
      <c r="I397" s="7" t="s">
        <v>25</v>
      </c>
      <c r="J397" s="13">
        <v>46196</v>
      </c>
      <c r="K397" s="14">
        <v>240</v>
      </c>
      <c r="L397" s="15" t="s">
        <v>20</v>
      </c>
      <c r="M397" s="46"/>
      <c r="N397" s="44"/>
      <c r="O397" s="17"/>
      <c r="P397" s="21">
        <v>46239</v>
      </c>
      <c r="Q397" s="43">
        <f t="shared" si="33"/>
        <v>23</v>
      </c>
      <c r="S397" s="26">
        <f t="shared" si="34"/>
        <v>11</v>
      </c>
      <c r="T397" s="29" t="str" cm="1">
        <f t="array" aca="1" ref="T397" ca="1">IFERROR(ROUND(CENTILE.SI.ENS($Q$2:$Q$2202,0.5,$E$2:$E$2202,E397,$Q$2:$Q$2202,"&gt;0"),0),"N/D")</f>
        <v>N/D</v>
      </c>
      <c r="U397" s="74">
        <f t="shared" si="35"/>
        <v>46229</v>
      </c>
    </row>
    <row r="398" spans="1:21" ht="11.25" hidden="1" customHeight="1" x14ac:dyDescent="0.25">
      <c r="A398" s="5" t="s">
        <v>55</v>
      </c>
      <c r="B398" s="5">
        <v>46216</v>
      </c>
      <c r="D398" s="6">
        <v>202606047</v>
      </c>
      <c r="E398" s="7" t="s">
        <v>23</v>
      </c>
      <c r="F398" s="7" t="s">
        <v>489</v>
      </c>
      <c r="G398" s="8" t="s">
        <v>19</v>
      </c>
      <c r="H398" s="9">
        <v>21</v>
      </c>
      <c r="I398" s="7" t="s">
        <v>490</v>
      </c>
      <c r="J398" s="13">
        <v>46196</v>
      </c>
      <c r="K398" s="14">
        <v>874.57</v>
      </c>
      <c r="L398" s="15" t="s">
        <v>20</v>
      </c>
      <c r="M398" s="46"/>
      <c r="N398" s="44"/>
      <c r="O398" s="17"/>
      <c r="P398" s="21">
        <v>46239</v>
      </c>
      <c r="Q398" s="43">
        <f t="shared" si="33"/>
        <v>23</v>
      </c>
      <c r="S398" s="26">
        <f t="shared" si="34"/>
        <v>11</v>
      </c>
      <c r="T398" s="29"/>
      <c r="U398" s="74">
        <f t="shared" si="35"/>
        <v>46229</v>
      </c>
    </row>
    <row r="399" spans="1:21" ht="11.25" hidden="1" customHeight="1" x14ac:dyDescent="0.2">
      <c r="A399" s="5" t="s">
        <v>55</v>
      </c>
      <c r="B399" s="5">
        <v>46226</v>
      </c>
      <c r="D399" s="6">
        <v>202607004</v>
      </c>
      <c r="E399" s="7" t="s">
        <v>23</v>
      </c>
      <c r="F399" s="7" t="s">
        <v>29</v>
      </c>
      <c r="G399" s="8" t="s">
        <v>19</v>
      </c>
      <c r="H399" s="9">
        <v>21</v>
      </c>
      <c r="I399" s="7" t="s">
        <v>25</v>
      </c>
      <c r="J399" s="13">
        <v>46206</v>
      </c>
      <c r="K399" s="14">
        <v>240</v>
      </c>
      <c r="L399" s="15" t="s">
        <v>20</v>
      </c>
      <c r="M399" s="16"/>
      <c r="N399" s="44"/>
      <c r="O399" s="17"/>
      <c r="P399" s="21">
        <v>46239</v>
      </c>
      <c r="Q399" s="43">
        <f t="shared" si="33"/>
        <v>13</v>
      </c>
      <c r="S399" s="26">
        <f t="shared" si="34"/>
        <v>11</v>
      </c>
      <c r="T399" s="29" t="str" cm="1">
        <f t="array" aca="1" ref="T399" ca="1">IFERROR(ROUND(CENTILE.SI.ENS($Q$2:$Q$2202,0.5,$E$2:$E$2202,E399,$Q$2:$Q$2202,"&gt;0"),0),"N/D")</f>
        <v>N/D</v>
      </c>
      <c r="U399" s="74">
        <f t="shared" si="35"/>
        <v>46239</v>
      </c>
    </row>
    <row r="400" spans="1:21" ht="11.25" hidden="1" customHeight="1" x14ac:dyDescent="0.2">
      <c r="A400" s="5" t="s">
        <v>55</v>
      </c>
      <c r="B400" s="5">
        <v>46227</v>
      </c>
      <c r="D400" s="6">
        <v>202607006</v>
      </c>
      <c r="E400" s="7" t="s">
        <v>23</v>
      </c>
      <c r="F400" s="7" t="s">
        <v>49</v>
      </c>
      <c r="G400" s="8" t="s">
        <v>19</v>
      </c>
      <c r="H400" s="9">
        <v>21</v>
      </c>
      <c r="I400" s="7" t="s">
        <v>25</v>
      </c>
      <c r="J400" s="13">
        <v>46227</v>
      </c>
      <c r="K400" s="14">
        <v>200</v>
      </c>
      <c r="L400" s="15" t="s">
        <v>20</v>
      </c>
      <c r="M400" s="16"/>
      <c r="N400" s="44"/>
      <c r="O400" s="17"/>
      <c r="P400" s="21">
        <v>46239</v>
      </c>
      <c r="Q400" s="43">
        <f t="shared" si="33"/>
        <v>12</v>
      </c>
      <c r="S400" s="26">
        <f t="shared" si="34"/>
        <v>11</v>
      </c>
      <c r="T400" s="29" t="str" cm="1">
        <f t="array" aca="1" ref="T400" ca="1">IFERROR(ROUND(CENTILE.SI.ENS($Q$2:$Q$2202,0.5,$E$2:$E$2202,E400,$Q$2:$Q$2202,"&gt;0"),0),"N/D")</f>
        <v>N/D</v>
      </c>
      <c r="U400" s="74">
        <f t="shared" si="35"/>
        <v>46240</v>
      </c>
    </row>
    <row r="401" spans="1:21" ht="11.25" hidden="1" customHeight="1" x14ac:dyDescent="0.2">
      <c r="A401" s="5" t="s">
        <v>55</v>
      </c>
      <c r="B401" s="5">
        <v>46231</v>
      </c>
      <c r="D401" s="6">
        <v>202607013</v>
      </c>
      <c r="E401" s="7" t="s">
        <v>23</v>
      </c>
      <c r="F401" s="7" t="s">
        <v>24</v>
      </c>
      <c r="G401" s="8" t="s">
        <v>19</v>
      </c>
      <c r="H401" s="9">
        <v>21</v>
      </c>
      <c r="I401" s="7" t="s">
        <v>25</v>
      </c>
      <c r="J401" s="13">
        <v>46211</v>
      </c>
      <c r="K401" s="14">
        <v>260</v>
      </c>
      <c r="L401" s="15" t="s">
        <v>20</v>
      </c>
      <c r="M401" s="16"/>
      <c r="N401" s="44"/>
      <c r="O401" s="17"/>
      <c r="P401" s="21">
        <v>46239</v>
      </c>
      <c r="Q401" s="43">
        <f t="shared" si="33"/>
        <v>8</v>
      </c>
      <c r="S401" s="26">
        <f t="shared" si="34"/>
        <v>11</v>
      </c>
      <c r="T401" s="29" t="str" cm="1">
        <f t="array" aca="1" ref="T401" ca="1">IFERROR(ROUND(CENTILE.SI.ENS($Q$2:$Q$2202,0.5,$E$2:$E$2202,E401,$Q$2:$Q$2202,"&gt;0"),0),"N/D")</f>
        <v>N/D</v>
      </c>
      <c r="U401" s="74">
        <f t="shared" si="35"/>
        <v>46244</v>
      </c>
    </row>
    <row r="402" spans="1:21" ht="14.25" customHeight="1" x14ac:dyDescent="0.2">
      <c r="A402" s="5" t="s">
        <v>55</v>
      </c>
      <c r="B402" s="5">
        <v>46275</v>
      </c>
      <c r="D402" s="6">
        <v>202607053</v>
      </c>
      <c r="E402" s="7" t="s">
        <v>36</v>
      </c>
      <c r="F402" s="7" t="s">
        <v>345</v>
      </c>
      <c r="G402" s="8" t="s">
        <v>22</v>
      </c>
      <c r="H402" s="9">
        <v>45</v>
      </c>
      <c r="I402" s="7" t="s">
        <v>228</v>
      </c>
      <c r="J402" s="13">
        <v>46231</v>
      </c>
      <c r="K402" s="14">
        <v>36811.449999999997</v>
      </c>
      <c r="L402" s="15" t="s">
        <v>34</v>
      </c>
      <c r="Q402" s="43" t="str">
        <f t="shared" si="33"/>
        <v>En attente paiement</v>
      </c>
      <c r="S402" s="26">
        <f t="shared" ref="S402:S410" si="36">IFERROR(ROUND(AVERAGEIF($E$2:$E$2202,E402,$Q$2:$Q$2202),0),"N/D")</f>
        <v>22</v>
      </c>
      <c r="T402" s="29" t="str" cm="1">
        <f t="array" aca="1" ref="T402" ca="1">IFERROR(ROUND(CENTILE.SI.ENS($Q$2:$Q$2202,0.5,$E$2:$E$2202,E402,$Q$2:$Q$2202,"&gt;0"),0),"N/D")</f>
        <v>N/D</v>
      </c>
      <c r="U402" s="74">
        <f t="shared" ref="U402:U410" si="37">IFERROR(B402+ROUNDUP(AVERAGEIF($E$2:$E$2202,E402,$Q$2:$Q$2202)*1.2,0),"N/D")</f>
        <v>46302</v>
      </c>
    </row>
    <row r="403" spans="1:21" ht="14.25" customHeight="1" x14ac:dyDescent="0.2">
      <c r="A403" s="5" t="s">
        <v>55</v>
      </c>
      <c r="B403" s="5">
        <v>46275</v>
      </c>
      <c r="D403" s="6">
        <v>202608023</v>
      </c>
      <c r="E403" s="7" t="s">
        <v>23</v>
      </c>
      <c r="F403" s="7" t="s">
        <v>24</v>
      </c>
      <c r="G403" s="8" t="s">
        <v>19</v>
      </c>
      <c r="H403" s="9">
        <v>21</v>
      </c>
      <c r="I403" s="7" t="s">
        <v>25</v>
      </c>
      <c r="J403" s="13">
        <v>46255</v>
      </c>
      <c r="K403" s="14">
        <v>230</v>
      </c>
      <c r="L403" s="15" t="s">
        <v>20</v>
      </c>
      <c r="Q403" s="43" t="str">
        <f t="shared" si="33"/>
        <v>En attente paiement</v>
      </c>
      <c r="S403" s="26">
        <f t="shared" si="36"/>
        <v>11</v>
      </c>
      <c r="T403" s="29" t="str" cm="1">
        <f t="array" aca="1" ref="T403" ca="1">IFERROR(ROUND(CENTILE.SI.ENS($Q$2:$Q$2202,0.5,$E$2:$E$2202,E403,$Q$2:$Q$2202,"&gt;0"),0),"N/D")</f>
        <v>N/D</v>
      </c>
      <c r="U403" s="74">
        <f t="shared" si="37"/>
        <v>46288</v>
      </c>
    </row>
    <row r="404" spans="1:21" ht="14.25" customHeight="1" x14ac:dyDescent="0.2">
      <c r="A404" s="5" t="s">
        <v>55</v>
      </c>
      <c r="B404" s="5">
        <v>46275</v>
      </c>
      <c r="D404" s="6">
        <v>202608024</v>
      </c>
      <c r="E404" s="7" t="s">
        <v>26</v>
      </c>
      <c r="F404" s="7" t="s">
        <v>24</v>
      </c>
      <c r="G404" s="8" t="s">
        <v>19</v>
      </c>
      <c r="H404" s="9">
        <v>21</v>
      </c>
      <c r="I404" s="7" t="s">
        <v>25</v>
      </c>
      <c r="J404" s="13">
        <v>46255</v>
      </c>
      <c r="K404" s="14">
        <v>230</v>
      </c>
      <c r="L404" s="15" t="s">
        <v>20</v>
      </c>
      <c r="Q404" s="43" t="str">
        <f t="shared" si="33"/>
        <v>En attente paiement</v>
      </c>
      <c r="S404" s="26">
        <f t="shared" si="36"/>
        <v>13</v>
      </c>
      <c r="T404" s="29" t="str" cm="1">
        <f t="array" aca="1" ref="T404" ca="1">IFERROR(ROUND(CENTILE.SI.ENS($Q$2:$Q$2202,0.5,$E$2:$E$2202,E404,$Q$2:$Q$2202,"&gt;0"),0),"N/D")</f>
        <v>N/D</v>
      </c>
      <c r="U404" s="74">
        <f t="shared" si="37"/>
        <v>46291</v>
      </c>
    </row>
    <row r="405" spans="1:21" ht="14.25" customHeight="1" x14ac:dyDescent="0.2">
      <c r="A405" s="5" t="s">
        <v>250</v>
      </c>
      <c r="B405" s="5">
        <v>46276</v>
      </c>
      <c r="D405" s="6">
        <v>202608018</v>
      </c>
      <c r="E405" s="7" t="s">
        <v>319</v>
      </c>
      <c r="F405" s="7" t="s">
        <v>569</v>
      </c>
      <c r="G405" s="8" t="s">
        <v>131</v>
      </c>
      <c r="H405" s="9">
        <v>30</v>
      </c>
      <c r="I405" s="7" t="s">
        <v>570</v>
      </c>
      <c r="J405" s="13">
        <v>46247</v>
      </c>
      <c r="K405" s="14">
        <v>2405001.62</v>
      </c>
      <c r="L405" s="15" t="s">
        <v>20</v>
      </c>
      <c r="Q405" s="43" t="str">
        <f t="shared" si="33"/>
        <v>En attente paiement</v>
      </c>
      <c r="S405" s="26">
        <f t="shared" si="36"/>
        <v>0</v>
      </c>
      <c r="T405" s="29" t="str" cm="1">
        <f t="array" aca="1" ref="T405" ca="1">IFERROR(ROUND(CENTILE.SI.ENS($Q$2:$Q$2202,0.5,$E$2:$E$2202,E405,$Q$2:$Q$2202,"&gt;0"),0),"N/D")</f>
        <v>N/D</v>
      </c>
      <c r="U405" s="74">
        <f t="shared" si="37"/>
        <v>46275</v>
      </c>
    </row>
    <row r="406" spans="1:21" ht="14.25" customHeight="1" x14ac:dyDescent="0.2">
      <c r="A406" s="5" t="s">
        <v>55</v>
      </c>
      <c r="B406" s="5">
        <v>46276</v>
      </c>
      <c r="D406" s="6">
        <v>202607069</v>
      </c>
      <c r="E406" s="7" t="s">
        <v>491</v>
      </c>
      <c r="F406" s="7" t="s">
        <v>492</v>
      </c>
      <c r="G406" s="8" t="s">
        <v>22</v>
      </c>
      <c r="H406" s="9">
        <v>45</v>
      </c>
      <c r="I406" s="7" t="s">
        <v>306</v>
      </c>
      <c r="J406" s="13">
        <v>46234</v>
      </c>
      <c r="K406" s="14">
        <v>78018.36</v>
      </c>
      <c r="L406" s="15" t="s">
        <v>34</v>
      </c>
      <c r="Q406" s="43" t="str">
        <f t="shared" si="33"/>
        <v>En attente paiement</v>
      </c>
      <c r="S406" s="26">
        <f t="shared" si="36"/>
        <v>14</v>
      </c>
      <c r="T406" s="29" t="str" cm="1">
        <f t="array" aca="1" ref="T406" ca="1">IFERROR(ROUND(CENTILE.SI.ENS($Q$2:$Q$2202,0.5,$E$2:$E$2202,E406,$Q$2:$Q$2202,"&gt;0"),0),"N/D")</f>
        <v>N/D</v>
      </c>
      <c r="U406" s="74">
        <f t="shared" si="37"/>
        <v>46293</v>
      </c>
    </row>
    <row r="407" spans="1:21" ht="14.25" customHeight="1" x14ac:dyDescent="0.2">
      <c r="A407" s="5" t="s">
        <v>55</v>
      </c>
      <c r="B407" s="5">
        <v>46276</v>
      </c>
      <c r="D407" s="6">
        <v>202607057</v>
      </c>
      <c r="E407" s="7" t="s">
        <v>36</v>
      </c>
      <c r="F407" s="7" t="s">
        <v>397</v>
      </c>
      <c r="G407" s="8" t="s">
        <v>22</v>
      </c>
      <c r="H407" s="9">
        <v>45</v>
      </c>
      <c r="I407" s="7" t="s">
        <v>546</v>
      </c>
      <c r="J407" s="13">
        <v>46232</v>
      </c>
      <c r="K407" s="24">
        <v>91074.83</v>
      </c>
      <c r="L407" s="15" t="s">
        <v>34</v>
      </c>
      <c r="M407" s="18">
        <v>46303</v>
      </c>
      <c r="Q407" s="43" t="str">
        <f t="shared" si="33"/>
        <v>En attente paiement</v>
      </c>
      <c r="R407" s="22">
        <v>46252</v>
      </c>
      <c r="S407" s="26">
        <f t="shared" si="36"/>
        <v>22</v>
      </c>
      <c r="T407" s="29" t="str" cm="1">
        <f t="array" aca="1" ref="T407" ca="1">IFERROR(ROUND(CENTILE.SI.ENS($Q$2:$Q$2202,0.5,$E$2:$E$2202,E407,$Q$2:$Q$2202,"&gt;0"),0),"N/D")</f>
        <v>N/D</v>
      </c>
      <c r="U407" s="74">
        <f t="shared" si="37"/>
        <v>46303</v>
      </c>
    </row>
    <row r="408" spans="1:21" ht="14.25" customHeight="1" x14ac:dyDescent="0.2">
      <c r="A408" s="5" t="s">
        <v>85</v>
      </c>
      <c r="B408" s="5">
        <v>46276</v>
      </c>
      <c r="D408" s="6">
        <v>202608021</v>
      </c>
      <c r="E408" s="7" t="s">
        <v>468</v>
      </c>
      <c r="F408" s="7" t="s">
        <v>574</v>
      </c>
      <c r="G408" s="8" t="s">
        <v>22</v>
      </c>
      <c r="H408" s="9">
        <v>30</v>
      </c>
      <c r="I408" s="7" t="s">
        <v>101</v>
      </c>
      <c r="J408" s="13">
        <v>46248</v>
      </c>
      <c r="K408" s="14">
        <v>116020</v>
      </c>
      <c r="L408" s="15" t="s">
        <v>20</v>
      </c>
      <c r="Q408" s="43" t="str">
        <f t="shared" si="33"/>
        <v>En attente paiement</v>
      </c>
      <c r="S408" s="26">
        <f t="shared" si="36"/>
        <v>2</v>
      </c>
      <c r="T408" s="29" t="str" cm="1">
        <f t="array" aca="1" ref="T408" ca="1">IFERROR(ROUND(CENTILE.SI.ENS($Q$2:$Q$2202,0.5,$E$2:$E$2202,E408,$Q$2:$Q$2202,"&gt;0"),0),"N/D")</f>
        <v>N/D</v>
      </c>
      <c r="U408" s="74">
        <f t="shared" si="37"/>
        <v>46279</v>
      </c>
    </row>
    <row r="409" spans="1:21" ht="14.25" customHeight="1" x14ac:dyDescent="0.2">
      <c r="A409" s="5" t="s">
        <v>58</v>
      </c>
      <c r="B409" s="5">
        <v>46276</v>
      </c>
      <c r="D409" s="84">
        <v>202608025</v>
      </c>
      <c r="E409" s="7" t="s">
        <v>70</v>
      </c>
      <c r="F409" s="7" t="s">
        <v>576</v>
      </c>
      <c r="G409" s="8" t="s">
        <v>22</v>
      </c>
      <c r="H409" s="9">
        <v>30</v>
      </c>
      <c r="I409" s="7" t="s">
        <v>577</v>
      </c>
      <c r="J409" s="13">
        <v>46248</v>
      </c>
      <c r="K409" s="14">
        <v>477492.38</v>
      </c>
      <c r="L409" s="15" t="s">
        <v>20</v>
      </c>
      <c r="Q409" s="43" t="str">
        <f t="shared" si="33"/>
        <v>En attente paiement</v>
      </c>
      <c r="S409" s="26">
        <f t="shared" si="36"/>
        <v>1</v>
      </c>
      <c r="T409" s="29" t="str" cm="1">
        <f t="array" aca="1" ref="T409" ca="1">IFERROR(ROUND(CENTILE.SI.ENS($Q$2:$Q$2202,0.5,$E$2:$E$2202,E409,$Q$2:$Q$2202,"&gt;0"),0),"N/D")</f>
        <v>N/D</v>
      </c>
      <c r="U409" s="74">
        <f t="shared" si="37"/>
        <v>46278</v>
      </c>
    </row>
    <row r="410" spans="1:21" s="40" customFormat="1" ht="14.25" customHeight="1" x14ac:dyDescent="0.2">
      <c r="A410" s="5" t="s">
        <v>55</v>
      </c>
      <c r="B410" s="5">
        <v>46281</v>
      </c>
      <c r="C410" s="5"/>
      <c r="D410" s="6">
        <v>202608007</v>
      </c>
      <c r="E410" s="7" t="s">
        <v>36</v>
      </c>
      <c r="F410" s="7" t="s">
        <v>47</v>
      </c>
      <c r="G410" s="8" t="s">
        <v>22</v>
      </c>
      <c r="H410" s="9">
        <v>45</v>
      </c>
      <c r="I410" s="7" t="s">
        <v>374</v>
      </c>
      <c r="J410" s="13">
        <v>46237</v>
      </c>
      <c r="K410" s="14">
        <v>35883.760000000002</v>
      </c>
      <c r="L410" s="15" t="s">
        <v>34</v>
      </c>
      <c r="M410" s="18"/>
      <c r="N410" s="14"/>
      <c r="O410" s="7"/>
      <c r="P410" s="21"/>
      <c r="Q410" s="43" t="str">
        <f t="shared" si="33"/>
        <v>En attente paiement</v>
      </c>
      <c r="R410" s="22"/>
      <c r="S410" s="26">
        <f t="shared" si="34"/>
        <v>22</v>
      </c>
      <c r="T410" s="29" t="str" cm="1">
        <f t="array" aca="1" ref="T410" ca="1">IFERROR(ROUND(CENTILE.SI.ENS($Q$2:$Q$2202,0.5,$E$2:$E$2202,E410,$Q$2:$Q$2202,"&gt;0"),0),"N/D")</f>
        <v>N/D</v>
      </c>
      <c r="U410" s="74">
        <f t="shared" si="35"/>
        <v>46308</v>
      </c>
    </row>
    <row r="411" spans="1:21" s="40" customFormat="1" ht="11.25" hidden="1" customHeight="1" x14ac:dyDescent="0.2">
      <c r="A411" s="35" t="s">
        <v>18</v>
      </c>
      <c r="B411" s="35">
        <v>46070</v>
      </c>
      <c r="C411" s="35">
        <v>46064</v>
      </c>
      <c r="D411" s="36">
        <v>16</v>
      </c>
      <c r="E411" s="37" t="s">
        <v>197</v>
      </c>
      <c r="F411" s="37" t="s">
        <v>198</v>
      </c>
      <c r="G411" s="38" t="s">
        <v>65</v>
      </c>
      <c r="H411" s="39">
        <v>21</v>
      </c>
      <c r="I411" s="40" t="s">
        <v>199</v>
      </c>
      <c r="J411" s="38">
        <v>46050</v>
      </c>
      <c r="K411" s="44">
        <v>42648.639999999999</v>
      </c>
      <c r="L411" s="42" t="s">
        <v>20</v>
      </c>
      <c r="M411" s="18"/>
      <c r="N411" s="44">
        <v>42627.64</v>
      </c>
      <c r="O411" s="7"/>
      <c r="P411" s="21">
        <v>46070</v>
      </c>
      <c r="Q411" s="43">
        <f t="shared" si="33"/>
        <v>0</v>
      </c>
      <c r="R411" s="21">
        <v>46080</v>
      </c>
      <c r="S411" s="26">
        <f t="shared" si="34"/>
        <v>0</v>
      </c>
      <c r="T411" s="29" t="str" cm="1">
        <f t="array" aca="1" ref="T411" ca="1">IFERROR(ROUND(CENTILE.SI.ENS($Q$2:$Q$2202,0.5,$E$2:$E$2202,E411,$Q$2:$Q$2202,"&gt;0"),0),"N/D")</f>
        <v>N/D</v>
      </c>
      <c r="U411" s="74">
        <f t="shared" si="35"/>
        <v>46070</v>
      </c>
    </row>
    <row r="412" spans="1:21" s="40" customFormat="1" ht="11.25" hidden="1" customHeight="1" x14ac:dyDescent="0.2">
      <c r="A412" s="5" t="s">
        <v>18</v>
      </c>
      <c r="B412" s="5">
        <v>46128</v>
      </c>
      <c r="C412" s="5"/>
      <c r="D412" s="6">
        <v>22</v>
      </c>
      <c r="E412" s="7" t="s">
        <v>197</v>
      </c>
      <c r="F412" s="7" t="s">
        <v>308</v>
      </c>
      <c r="G412" s="8" t="s">
        <v>65</v>
      </c>
      <c r="H412" s="9">
        <v>30</v>
      </c>
      <c r="I412" s="10" t="s">
        <v>309</v>
      </c>
      <c r="J412" s="13">
        <v>46099</v>
      </c>
      <c r="K412" s="14">
        <v>119156.45</v>
      </c>
      <c r="L412" s="15" t="s">
        <v>20</v>
      </c>
      <c r="M412" s="18"/>
      <c r="N412" s="44"/>
      <c r="O412" s="7"/>
      <c r="P412" s="21">
        <v>46128</v>
      </c>
      <c r="Q412" s="43">
        <f t="shared" si="33"/>
        <v>0</v>
      </c>
      <c r="R412" s="22">
        <v>46129</v>
      </c>
      <c r="S412" s="26">
        <f t="shared" si="34"/>
        <v>0</v>
      </c>
      <c r="T412" s="29"/>
      <c r="U412" s="74">
        <f t="shared" si="35"/>
        <v>46128</v>
      </c>
    </row>
    <row r="413" spans="1:21" ht="11.25" hidden="1" customHeight="1" x14ac:dyDescent="0.2">
      <c r="A413" s="5" t="s">
        <v>44</v>
      </c>
      <c r="B413" s="5">
        <v>46122</v>
      </c>
      <c r="D413" s="6">
        <v>202602017</v>
      </c>
      <c r="E413" s="7" t="s">
        <v>204</v>
      </c>
      <c r="F413" s="7" t="s">
        <v>205</v>
      </c>
      <c r="G413" s="8" t="s">
        <v>22</v>
      </c>
      <c r="H413" s="9">
        <v>60</v>
      </c>
      <c r="I413" s="10" t="s">
        <v>21</v>
      </c>
      <c r="J413" s="13">
        <v>46065</v>
      </c>
      <c r="K413" s="14">
        <v>149550</v>
      </c>
      <c r="L413" s="15" t="s">
        <v>20</v>
      </c>
      <c r="N413" s="44">
        <v>74775</v>
      </c>
      <c r="O413" s="7" t="s">
        <v>386</v>
      </c>
      <c r="P413" s="21">
        <v>46154</v>
      </c>
      <c r="Q413" s="43">
        <f t="shared" si="33"/>
        <v>32</v>
      </c>
      <c r="R413" s="22">
        <v>46087</v>
      </c>
      <c r="S413" s="26">
        <f t="shared" si="34"/>
        <v>32</v>
      </c>
      <c r="T413" s="29" t="str" cm="1">
        <f t="array" aca="1" ref="T413" ca="1">IFERROR(ROUND(CENTILE.SI.ENS($Q$2:$Q$2202,0.5,$E$2:$E$2202,E413,$Q$2:$Q$2202,"&gt;0"),0),"N/D")</f>
        <v>N/D</v>
      </c>
      <c r="U413" s="74">
        <f t="shared" si="35"/>
        <v>46161</v>
      </c>
    </row>
    <row r="414" spans="1:21" ht="11.25" hidden="1" customHeight="1" x14ac:dyDescent="0.2">
      <c r="A414" s="35" t="s">
        <v>54</v>
      </c>
      <c r="B414" s="35">
        <v>46045</v>
      </c>
      <c r="C414" s="35"/>
      <c r="D414" s="36">
        <v>202601002</v>
      </c>
      <c r="E414" s="37" t="s">
        <v>26</v>
      </c>
      <c r="F414" s="37" t="s">
        <v>24</v>
      </c>
      <c r="G414" s="38" t="s">
        <v>19</v>
      </c>
      <c r="H414" s="39">
        <v>21</v>
      </c>
      <c r="I414" s="40" t="s">
        <v>25</v>
      </c>
      <c r="J414" s="38">
        <v>46027</v>
      </c>
      <c r="K414" s="44">
        <v>200</v>
      </c>
      <c r="L414" s="42" t="s">
        <v>20</v>
      </c>
      <c r="N414" s="44">
        <v>200</v>
      </c>
      <c r="P414" s="21">
        <v>46066</v>
      </c>
      <c r="Q414" s="43">
        <f t="shared" si="33"/>
        <v>21</v>
      </c>
      <c r="R414" s="21" t="s">
        <v>99</v>
      </c>
      <c r="S414" s="26">
        <f t="shared" si="34"/>
        <v>13</v>
      </c>
      <c r="T414" s="29" t="str" cm="1">
        <f t="array" aca="1" ref="T414" ca="1">IFERROR(ROUND(CENTILE.SI.ENS($Q$2:$Q$2202,0.5,$E$2:$E$2202,E414,$Q$2:$Q$2202,"&gt;0"),0),"N/D")</f>
        <v>N/D</v>
      </c>
      <c r="U414" s="74">
        <f t="shared" si="35"/>
        <v>46061</v>
      </c>
    </row>
    <row r="415" spans="1:21" ht="11.25" hidden="1" customHeight="1" x14ac:dyDescent="0.2">
      <c r="A415" s="5" t="s">
        <v>55</v>
      </c>
      <c r="B415" s="5">
        <v>46057</v>
      </c>
      <c r="D415" s="6">
        <v>202601015</v>
      </c>
      <c r="E415" s="7" t="s">
        <v>26</v>
      </c>
      <c r="F415" s="7" t="s">
        <v>29</v>
      </c>
      <c r="G415" s="8" t="s">
        <v>19</v>
      </c>
      <c r="H415" s="9">
        <v>21</v>
      </c>
      <c r="I415" s="10" t="s">
        <v>25</v>
      </c>
      <c r="J415" s="13">
        <v>46037</v>
      </c>
      <c r="K415" s="14">
        <v>180</v>
      </c>
      <c r="L415" s="15" t="s">
        <v>20</v>
      </c>
      <c r="N415" s="44"/>
      <c r="O415" s="7" t="s">
        <v>477</v>
      </c>
      <c r="P415" s="21">
        <v>46233</v>
      </c>
      <c r="Q415" s="43">
        <f t="shared" si="33"/>
        <v>176</v>
      </c>
      <c r="R415" s="22" t="s">
        <v>99</v>
      </c>
      <c r="S415" s="26">
        <f t="shared" si="34"/>
        <v>13</v>
      </c>
      <c r="T415" s="29"/>
      <c r="U415" s="74">
        <f t="shared" si="35"/>
        <v>46073</v>
      </c>
    </row>
    <row r="416" spans="1:21" ht="11.25" hidden="1" customHeight="1" x14ac:dyDescent="0.2">
      <c r="A416" s="35" t="s">
        <v>55</v>
      </c>
      <c r="B416" s="35">
        <v>46063</v>
      </c>
      <c r="C416" s="35"/>
      <c r="D416" s="36">
        <v>202601032</v>
      </c>
      <c r="E416" s="37" t="s">
        <v>26</v>
      </c>
      <c r="F416" s="37" t="s">
        <v>24</v>
      </c>
      <c r="G416" s="38" t="s">
        <v>19</v>
      </c>
      <c r="H416" s="39">
        <v>21</v>
      </c>
      <c r="I416" s="37" t="s">
        <v>25</v>
      </c>
      <c r="J416" s="38">
        <v>46043</v>
      </c>
      <c r="K416" s="44">
        <v>220</v>
      </c>
      <c r="L416" s="42" t="s">
        <v>20</v>
      </c>
      <c r="N416" s="44">
        <v>220</v>
      </c>
      <c r="P416" s="21">
        <v>46066</v>
      </c>
      <c r="Q416" s="43">
        <f t="shared" si="33"/>
        <v>3</v>
      </c>
      <c r="R416" s="21" t="s">
        <v>99</v>
      </c>
      <c r="S416" s="26">
        <f t="shared" si="34"/>
        <v>13</v>
      </c>
      <c r="T416" s="29" t="str" cm="1">
        <f t="array" aca="1" ref="T416" ca="1">IFERROR(ROUND(CENTILE.SI.ENS($Q$2:$Q$2202,0.5,$E$2:$E$2202,E416,$Q$2:$Q$2202,"&gt;0"),0),"N/D")</f>
        <v>N/D</v>
      </c>
      <c r="U416" s="74">
        <f t="shared" si="35"/>
        <v>46079</v>
      </c>
    </row>
    <row r="417" spans="1:21" ht="11.25" hidden="1" customHeight="1" x14ac:dyDescent="0.2">
      <c r="A417" s="35" t="s">
        <v>55</v>
      </c>
      <c r="B417" s="35">
        <v>46069</v>
      </c>
      <c r="C417" s="35"/>
      <c r="D417" s="36">
        <v>202601049</v>
      </c>
      <c r="E417" s="37" t="s">
        <v>26</v>
      </c>
      <c r="F417" s="37" t="s">
        <v>49</v>
      </c>
      <c r="G417" s="38" t="s">
        <v>19</v>
      </c>
      <c r="H417" s="39">
        <v>21</v>
      </c>
      <c r="I417" s="40" t="s">
        <v>25</v>
      </c>
      <c r="J417" s="38">
        <v>46049</v>
      </c>
      <c r="K417" s="44">
        <v>150</v>
      </c>
      <c r="L417" s="42" t="s">
        <v>20</v>
      </c>
      <c r="N417" s="44">
        <v>150</v>
      </c>
      <c r="P417" s="21">
        <v>46086</v>
      </c>
      <c r="Q417" s="43">
        <f t="shared" si="33"/>
        <v>17</v>
      </c>
      <c r="R417" s="21" t="s">
        <v>99</v>
      </c>
      <c r="S417" s="26">
        <f t="shared" si="34"/>
        <v>13</v>
      </c>
      <c r="T417" s="29" t="str" cm="1">
        <f t="array" aca="1" ref="T417" ca="1">IFERROR(ROUND(CENTILE.SI.ENS($Q$2:$Q$2202,0.5,$E$2:$E$2202,E417,$Q$2:$Q$2202,"&gt;0"),0),"N/D")</f>
        <v>N/D</v>
      </c>
      <c r="U417" s="74">
        <f t="shared" si="35"/>
        <v>46085</v>
      </c>
    </row>
    <row r="418" spans="1:21" ht="11.25" hidden="1" customHeight="1" x14ac:dyDescent="0.2">
      <c r="A418" s="35" t="s">
        <v>55</v>
      </c>
      <c r="B418" s="35">
        <v>46080</v>
      </c>
      <c r="C418" s="35"/>
      <c r="D418" s="36">
        <v>202602006</v>
      </c>
      <c r="E418" s="37" t="s">
        <v>26</v>
      </c>
      <c r="F418" s="37" t="s">
        <v>24</v>
      </c>
      <c r="G418" s="38" t="s">
        <v>19</v>
      </c>
      <c r="H418" s="39">
        <v>21</v>
      </c>
      <c r="I418" s="40" t="s">
        <v>25</v>
      </c>
      <c r="J418" s="38">
        <v>46060</v>
      </c>
      <c r="K418" s="44">
        <v>250</v>
      </c>
      <c r="L418" s="42" t="s">
        <v>20</v>
      </c>
      <c r="N418" s="44">
        <v>250</v>
      </c>
      <c r="P418" s="21">
        <v>46086</v>
      </c>
      <c r="Q418" s="43">
        <f t="shared" si="33"/>
        <v>6</v>
      </c>
      <c r="R418" s="21" t="s">
        <v>99</v>
      </c>
      <c r="S418" s="26">
        <f t="shared" si="34"/>
        <v>13</v>
      </c>
      <c r="T418" s="29" t="str" cm="1">
        <f t="array" aca="1" ref="T418" ca="1">IFERROR(ROUND(CENTILE.SI.ENS($Q$2:$Q$2202,0.5,$E$2:$E$2202,E418,$Q$2:$Q$2202,"&gt;0"),0),"N/D")</f>
        <v>N/D</v>
      </c>
      <c r="U418" s="74">
        <f t="shared" si="35"/>
        <v>46096</v>
      </c>
    </row>
    <row r="419" spans="1:21" ht="11.25" hidden="1" customHeight="1" x14ac:dyDescent="0.2">
      <c r="A419" s="35" t="s">
        <v>55</v>
      </c>
      <c r="B419" s="35">
        <v>46085</v>
      </c>
      <c r="C419" s="35"/>
      <c r="D419" s="36">
        <v>202602019</v>
      </c>
      <c r="E419" s="37" t="s">
        <v>26</v>
      </c>
      <c r="F419" s="37" t="s">
        <v>49</v>
      </c>
      <c r="G419" s="38" t="s">
        <v>19</v>
      </c>
      <c r="H419" s="39">
        <v>21</v>
      </c>
      <c r="I419" s="40" t="s">
        <v>25</v>
      </c>
      <c r="J419" s="38">
        <v>46065</v>
      </c>
      <c r="K419" s="44">
        <v>240</v>
      </c>
      <c r="L419" s="42" t="s">
        <v>20</v>
      </c>
      <c r="N419" s="44">
        <f>634-250-150</f>
        <v>234</v>
      </c>
      <c r="P419" s="21">
        <v>46086</v>
      </c>
      <c r="Q419" s="43">
        <f t="shared" si="33"/>
        <v>1</v>
      </c>
      <c r="R419" s="21" t="s">
        <v>99</v>
      </c>
      <c r="S419" s="26">
        <f t="shared" si="34"/>
        <v>13</v>
      </c>
      <c r="T419" s="29" t="str" cm="1">
        <f t="array" aca="1" ref="T419" ca="1">IFERROR(ROUND(CENTILE.SI.ENS($Q$2:$Q$2202,0.5,$E$2:$E$2202,E419,$Q$2:$Q$2202,"&gt;0"),0),"N/D")</f>
        <v>N/D</v>
      </c>
      <c r="U419" s="74">
        <f t="shared" si="35"/>
        <v>46101</v>
      </c>
    </row>
    <row r="420" spans="1:21" ht="11.25" hidden="1" customHeight="1" x14ac:dyDescent="0.2">
      <c r="A420" s="5" t="s">
        <v>55</v>
      </c>
      <c r="B420" s="5">
        <v>46094</v>
      </c>
      <c r="D420" s="36">
        <v>202602033</v>
      </c>
      <c r="E420" s="37" t="s">
        <v>26</v>
      </c>
      <c r="F420" s="37" t="s">
        <v>24</v>
      </c>
      <c r="G420" s="38" t="s">
        <v>19</v>
      </c>
      <c r="H420" s="39">
        <v>21</v>
      </c>
      <c r="I420" s="40" t="s">
        <v>25</v>
      </c>
      <c r="J420" s="38">
        <v>46075</v>
      </c>
      <c r="K420" s="44">
        <v>210</v>
      </c>
      <c r="L420" s="42" t="s">
        <v>20</v>
      </c>
      <c r="N420" s="44">
        <v>210</v>
      </c>
      <c r="P420" s="21">
        <v>46108</v>
      </c>
      <c r="Q420" s="43">
        <f t="shared" si="33"/>
        <v>14</v>
      </c>
      <c r="R420" s="21" t="s">
        <v>99</v>
      </c>
      <c r="S420" s="26">
        <f t="shared" si="34"/>
        <v>13</v>
      </c>
      <c r="T420" s="29" t="str" cm="1">
        <f t="array" aca="1" ref="T420" ca="1">IFERROR(ROUND(CENTILE.SI.ENS($Q$2:$Q$2202,0.5,$E$2:$E$2202,E420,$Q$2:$Q$2202,"&gt;0"),0),"N/D")</f>
        <v>N/D</v>
      </c>
      <c r="U420" s="74">
        <f t="shared" si="35"/>
        <v>46110</v>
      </c>
    </row>
    <row r="421" spans="1:21" ht="11.25" hidden="1" customHeight="1" x14ac:dyDescent="0.2">
      <c r="A421" s="5" t="s">
        <v>55</v>
      </c>
      <c r="B421" s="5">
        <v>46099</v>
      </c>
      <c r="D421" s="36">
        <v>202602048</v>
      </c>
      <c r="E421" s="37" t="s">
        <v>26</v>
      </c>
      <c r="F421" s="37" t="s">
        <v>49</v>
      </c>
      <c r="G421" s="38" t="s">
        <v>19</v>
      </c>
      <c r="H421" s="39">
        <v>21</v>
      </c>
      <c r="I421" s="40" t="s">
        <v>25</v>
      </c>
      <c r="J421" s="38">
        <v>46079</v>
      </c>
      <c r="K421" s="44">
        <v>240</v>
      </c>
      <c r="L421" s="42" t="s">
        <v>20</v>
      </c>
      <c r="N421" s="44">
        <v>240</v>
      </c>
      <c r="P421" s="21">
        <v>46108</v>
      </c>
      <c r="Q421" s="43">
        <f t="shared" si="33"/>
        <v>9</v>
      </c>
      <c r="R421" s="21" t="s">
        <v>99</v>
      </c>
      <c r="S421" s="26">
        <f t="shared" si="34"/>
        <v>13</v>
      </c>
      <c r="T421" s="29" t="str" cm="1">
        <f t="array" aca="1" ref="T421" ca="1">IFERROR(ROUND(CENTILE.SI.ENS($Q$2:$Q$2202,0.5,$E$2:$E$2202,E421,$Q$2:$Q$2202,"&gt;0"),0),"N/D")</f>
        <v>N/D</v>
      </c>
      <c r="U421" s="74">
        <f t="shared" si="35"/>
        <v>46115</v>
      </c>
    </row>
    <row r="422" spans="1:21" ht="11.25" hidden="1" customHeight="1" x14ac:dyDescent="0.2">
      <c r="A422" s="5" t="s">
        <v>55</v>
      </c>
      <c r="B422" s="5">
        <v>46164</v>
      </c>
      <c r="D422" s="6">
        <v>202605001</v>
      </c>
      <c r="E422" s="7" t="s">
        <v>26</v>
      </c>
      <c r="F422" s="7" t="s">
        <v>29</v>
      </c>
      <c r="G422" s="8" t="s">
        <v>19</v>
      </c>
      <c r="H422" s="9">
        <v>21</v>
      </c>
      <c r="I422" s="7" t="s">
        <v>25</v>
      </c>
      <c r="J422" s="13">
        <v>46145</v>
      </c>
      <c r="K422" s="14">
        <v>200</v>
      </c>
      <c r="L422" s="15" t="s">
        <v>20</v>
      </c>
      <c r="N422" s="44"/>
      <c r="P422" s="21">
        <v>46185</v>
      </c>
      <c r="Q422" s="43">
        <f t="shared" si="33"/>
        <v>21</v>
      </c>
      <c r="S422" s="26">
        <f t="shared" si="34"/>
        <v>13</v>
      </c>
      <c r="T422" s="29" t="str" cm="1">
        <f t="array" aca="1" ref="T422" ca="1">IFERROR(ROUND(CENTILE.SI.ENS($Q$2:$Q$2202,0.5,$E$2:$E$2202,E422,$Q$2:$Q$2202,"&gt;0"),0),"N/D")</f>
        <v>N/D</v>
      </c>
      <c r="U422" s="74">
        <f t="shared" si="35"/>
        <v>46180</v>
      </c>
    </row>
    <row r="423" spans="1:21" ht="11.25" hidden="1" customHeight="1" x14ac:dyDescent="0.2">
      <c r="A423" s="5" t="s">
        <v>55</v>
      </c>
      <c r="B423" s="5">
        <v>46105</v>
      </c>
      <c r="D423" s="36">
        <v>202603002</v>
      </c>
      <c r="E423" s="37" t="s">
        <v>26</v>
      </c>
      <c r="F423" s="37" t="s">
        <v>29</v>
      </c>
      <c r="G423" s="38" t="s">
        <v>19</v>
      </c>
      <c r="H423" s="39">
        <v>21</v>
      </c>
      <c r="I423" s="40" t="s">
        <v>25</v>
      </c>
      <c r="J423" s="38">
        <v>46085</v>
      </c>
      <c r="K423" s="44">
        <v>140</v>
      </c>
      <c r="L423" s="42" t="s">
        <v>20</v>
      </c>
      <c r="N423" s="44">
        <v>140</v>
      </c>
      <c r="P423" s="21">
        <v>46108</v>
      </c>
      <c r="Q423" s="43">
        <f t="shared" si="33"/>
        <v>3</v>
      </c>
      <c r="R423" s="21" t="s">
        <v>99</v>
      </c>
      <c r="S423" s="26">
        <f t="shared" si="34"/>
        <v>13</v>
      </c>
      <c r="T423" s="29" t="str" cm="1">
        <f t="array" aca="1" ref="T423" ca="1">IFERROR(ROUND(CENTILE.SI.ENS($Q$2:$Q$2202,0.5,$E$2:$E$2202,E423,$Q$2:$Q$2202,"&gt;0"),0),"N/D")</f>
        <v>N/D</v>
      </c>
      <c r="U423" s="74">
        <f t="shared" si="35"/>
        <v>46121</v>
      </c>
    </row>
    <row r="424" spans="1:21" ht="11.25" hidden="1" customHeight="1" x14ac:dyDescent="0.2">
      <c r="A424" s="5" t="s">
        <v>55</v>
      </c>
      <c r="B424" s="5">
        <v>46167</v>
      </c>
      <c r="D424" s="6">
        <v>202605004</v>
      </c>
      <c r="E424" s="7" t="s">
        <v>26</v>
      </c>
      <c r="F424" s="7" t="s">
        <v>49</v>
      </c>
      <c r="G424" s="8" t="s">
        <v>19</v>
      </c>
      <c r="H424" s="9">
        <v>21</v>
      </c>
      <c r="I424" s="7" t="s">
        <v>25</v>
      </c>
      <c r="J424" s="13">
        <v>46147</v>
      </c>
      <c r="K424" s="14">
        <v>140</v>
      </c>
      <c r="L424" s="15" t="s">
        <v>20</v>
      </c>
      <c r="N424" s="44"/>
      <c r="P424" s="21">
        <v>46185</v>
      </c>
      <c r="Q424" s="43">
        <f t="shared" si="33"/>
        <v>18</v>
      </c>
      <c r="S424" s="26">
        <f t="shared" si="34"/>
        <v>13</v>
      </c>
      <c r="T424" s="29" t="str" cm="1">
        <f t="array" aca="1" ref="T424" ca="1">IFERROR(ROUND(CENTILE.SI.ENS($Q$2:$Q$2202,0.5,$E$2:$E$2202,E424,$Q$2:$Q$2202,"&gt;0"),0),"N/D")</f>
        <v>N/D</v>
      </c>
      <c r="U424" s="74">
        <f t="shared" si="35"/>
        <v>46183</v>
      </c>
    </row>
    <row r="425" spans="1:21" ht="11.25" hidden="1" customHeight="1" x14ac:dyDescent="0.2">
      <c r="A425" s="5" t="s">
        <v>55</v>
      </c>
      <c r="B425" s="5">
        <v>46108</v>
      </c>
      <c r="D425" s="6">
        <v>202603007</v>
      </c>
      <c r="E425" s="7" t="s">
        <v>26</v>
      </c>
      <c r="F425" s="7" t="s">
        <v>24</v>
      </c>
      <c r="G425" s="8" t="s">
        <v>19</v>
      </c>
      <c r="H425" s="9">
        <v>21</v>
      </c>
      <c r="I425" s="10" t="s">
        <v>25</v>
      </c>
      <c r="J425" s="13">
        <v>46090</v>
      </c>
      <c r="K425" s="14">
        <v>230</v>
      </c>
      <c r="L425" s="15" t="s">
        <v>20</v>
      </c>
      <c r="N425" s="44"/>
      <c r="P425" s="21">
        <v>46127</v>
      </c>
      <c r="Q425" s="43">
        <f t="shared" si="33"/>
        <v>19</v>
      </c>
      <c r="R425" s="21" t="s">
        <v>99</v>
      </c>
      <c r="S425" s="26">
        <f t="shared" si="34"/>
        <v>13</v>
      </c>
      <c r="T425" s="29" t="str" cm="1">
        <f t="array" aca="1" ref="T425" ca="1">IFERROR(ROUND(CENTILE.SI.ENS($Q$2:$Q$2202,0.5,$E$2:$E$2202,E425,$Q$2:$Q$2202,"&gt;0"),0),"N/D")</f>
        <v>N/D</v>
      </c>
      <c r="U425" s="74">
        <f t="shared" si="35"/>
        <v>46124</v>
      </c>
    </row>
    <row r="426" spans="1:21" ht="11.25" hidden="1" customHeight="1" x14ac:dyDescent="0.2">
      <c r="A426" s="5" t="s">
        <v>55</v>
      </c>
      <c r="B426" s="5">
        <v>46114</v>
      </c>
      <c r="D426" s="6">
        <v>202603019</v>
      </c>
      <c r="E426" s="7" t="s">
        <v>26</v>
      </c>
      <c r="F426" s="7" t="s">
        <v>49</v>
      </c>
      <c r="G426" s="8" t="s">
        <v>19</v>
      </c>
      <c r="H426" s="9">
        <v>21</v>
      </c>
      <c r="I426" s="10" t="s">
        <v>25</v>
      </c>
      <c r="J426" s="13">
        <v>46094</v>
      </c>
      <c r="K426" s="14">
        <v>220</v>
      </c>
      <c r="L426" s="15" t="s">
        <v>20</v>
      </c>
      <c r="N426" s="44"/>
      <c r="P426" s="21">
        <v>46127</v>
      </c>
      <c r="Q426" s="43">
        <f t="shared" si="33"/>
        <v>13</v>
      </c>
      <c r="R426" s="21" t="s">
        <v>99</v>
      </c>
      <c r="S426" s="26">
        <f t="shared" si="34"/>
        <v>13</v>
      </c>
      <c r="T426" s="29" t="str" cm="1">
        <f t="array" aca="1" ref="T426" ca="1">IFERROR(ROUND(CENTILE.SI.ENS($Q$2:$Q$2202,0.5,$E$2:$E$2202,E426,$Q$2:$Q$2202,"&gt;0"),0),"N/D")</f>
        <v>N/D</v>
      </c>
      <c r="U426" s="74">
        <f t="shared" si="35"/>
        <v>46130</v>
      </c>
    </row>
    <row r="427" spans="1:21" ht="11.25" hidden="1" customHeight="1" x14ac:dyDescent="0.2">
      <c r="A427" s="5" t="s">
        <v>55</v>
      </c>
      <c r="B427" s="5">
        <v>46120</v>
      </c>
      <c r="D427" s="6">
        <v>202603029</v>
      </c>
      <c r="E427" s="7" t="s">
        <v>26</v>
      </c>
      <c r="F427" s="7" t="s">
        <v>29</v>
      </c>
      <c r="G427" s="8" t="s">
        <v>19</v>
      </c>
      <c r="H427" s="9">
        <v>21</v>
      </c>
      <c r="I427" s="10" t="s">
        <v>25</v>
      </c>
      <c r="J427" s="13">
        <v>46100</v>
      </c>
      <c r="K427" s="14">
        <v>210</v>
      </c>
      <c r="L427" s="15" t="s">
        <v>20</v>
      </c>
      <c r="N427" s="44"/>
      <c r="P427" s="21">
        <v>46127</v>
      </c>
      <c r="Q427" s="43">
        <f t="shared" si="33"/>
        <v>7</v>
      </c>
      <c r="R427" s="21" t="s">
        <v>99</v>
      </c>
      <c r="S427" s="26">
        <f t="shared" si="34"/>
        <v>13</v>
      </c>
      <c r="T427" s="29" t="str" cm="1">
        <f t="array" aca="1" ref="T427" ca="1">IFERROR(ROUND(CENTILE.SI.ENS($Q$2:$Q$2202,0.5,$E$2:$E$2202,E427,$Q$2:$Q$2202,"&gt;0"),0),"N/D")</f>
        <v>N/D</v>
      </c>
      <c r="U427" s="74">
        <f t="shared" si="35"/>
        <v>46136</v>
      </c>
    </row>
    <row r="428" spans="1:21" ht="11.25" hidden="1" customHeight="1" x14ac:dyDescent="0.2">
      <c r="A428" s="5" t="s">
        <v>55</v>
      </c>
      <c r="B428" s="5">
        <v>46122</v>
      </c>
      <c r="D428" s="6">
        <v>202603036</v>
      </c>
      <c r="E428" s="7" t="s">
        <v>26</v>
      </c>
      <c r="F428" s="7" t="s">
        <v>24</v>
      </c>
      <c r="G428" s="8" t="s">
        <v>19</v>
      </c>
      <c r="H428" s="9">
        <v>21</v>
      </c>
      <c r="I428" s="10" t="s">
        <v>25</v>
      </c>
      <c r="J428" s="13">
        <v>46104</v>
      </c>
      <c r="K428" s="14">
        <v>220</v>
      </c>
      <c r="L428" s="15" t="s">
        <v>20</v>
      </c>
      <c r="N428" s="44"/>
      <c r="P428" s="21">
        <v>46127</v>
      </c>
      <c r="Q428" s="43">
        <f t="shared" si="33"/>
        <v>5</v>
      </c>
      <c r="R428" s="21" t="s">
        <v>99</v>
      </c>
      <c r="S428" s="26">
        <f t="shared" si="34"/>
        <v>13</v>
      </c>
      <c r="T428" s="29"/>
      <c r="U428" s="74">
        <f t="shared" si="35"/>
        <v>46138</v>
      </c>
    </row>
    <row r="429" spans="1:21" ht="11.25" hidden="1" customHeight="1" x14ac:dyDescent="0.2">
      <c r="A429" s="5" t="s">
        <v>55</v>
      </c>
      <c r="B429" s="5">
        <v>46129</v>
      </c>
      <c r="D429" s="6">
        <v>202603040</v>
      </c>
      <c r="E429" s="7" t="s">
        <v>26</v>
      </c>
      <c r="F429" s="7" t="s">
        <v>49</v>
      </c>
      <c r="G429" s="8" t="s">
        <v>19</v>
      </c>
      <c r="H429" s="9">
        <v>21</v>
      </c>
      <c r="I429" s="7" t="s">
        <v>25</v>
      </c>
      <c r="J429" s="13">
        <v>46111</v>
      </c>
      <c r="K429" s="14">
        <v>200</v>
      </c>
      <c r="L429" s="15" t="s">
        <v>20</v>
      </c>
      <c r="N429" s="44"/>
      <c r="P429" s="21">
        <v>46127</v>
      </c>
      <c r="Q429" s="43">
        <f t="shared" si="33"/>
        <v>-2</v>
      </c>
      <c r="R429" s="21" t="s">
        <v>99</v>
      </c>
      <c r="S429" s="26">
        <f t="shared" si="34"/>
        <v>13</v>
      </c>
      <c r="T429" s="29"/>
      <c r="U429" s="74">
        <f t="shared" si="35"/>
        <v>46145</v>
      </c>
    </row>
    <row r="430" spans="1:21" ht="11.25" hidden="1" customHeight="1" x14ac:dyDescent="0.2">
      <c r="A430" s="5" t="s">
        <v>55</v>
      </c>
      <c r="B430" s="5">
        <v>46136</v>
      </c>
      <c r="D430" s="6">
        <v>202604004</v>
      </c>
      <c r="E430" s="7" t="s">
        <v>26</v>
      </c>
      <c r="F430" s="7" t="s">
        <v>29</v>
      </c>
      <c r="G430" s="8" t="s">
        <v>19</v>
      </c>
      <c r="H430" s="9">
        <v>21</v>
      </c>
      <c r="I430" s="7" t="s">
        <v>25</v>
      </c>
      <c r="J430" s="13">
        <v>46116</v>
      </c>
      <c r="K430" s="14">
        <v>270</v>
      </c>
      <c r="L430" s="15" t="s">
        <v>20</v>
      </c>
      <c r="N430" s="44"/>
      <c r="P430" s="21">
        <v>46149</v>
      </c>
      <c r="Q430" s="43">
        <f t="shared" si="33"/>
        <v>13</v>
      </c>
      <c r="R430" s="21" t="s">
        <v>99</v>
      </c>
      <c r="S430" s="26">
        <f t="shared" si="34"/>
        <v>13</v>
      </c>
      <c r="T430" s="29" t="str" cm="1">
        <f t="array" aca="1" ref="T430" ca="1">IFERROR(ROUND(CENTILE.SI.ENS($Q$2:$Q$2202,0.5,$E$2:$E$2202,E430,$Q$2:$Q$2202,"&gt;0"),0),"N/D")</f>
        <v>N/D</v>
      </c>
      <c r="U430" s="74">
        <f t="shared" si="35"/>
        <v>46152</v>
      </c>
    </row>
    <row r="431" spans="1:21" ht="11.25" hidden="1" customHeight="1" x14ac:dyDescent="0.2">
      <c r="A431" s="5" t="s">
        <v>55</v>
      </c>
      <c r="B431" s="5">
        <v>46141</v>
      </c>
      <c r="D431" s="6">
        <v>202604008</v>
      </c>
      <c r="E431" s="7" t="s">
        <v>26</v>
      </c>
      <c r="F431" s="7" t="s">
        <v>24</v>
      </c>
      <c r="G431" s="8" t="s">
        <v>19</v>
      </c>
      <c r="H431" s="9">
        <v>21</v>
      </c>
      <c r="I431" s="10" t="s">
        <v>25</v>
      </c>
      <c r="J431" s="13">
        <v>46121</v>
      </c>
      <c r="K431" s="14">
        <v>230.75</v>
      </c>
      <c r="L431" s="15" t="s">
        <v>20</v>
      </c>
      <c r="N431" s="44"/>
      <c r="P431" s="21">
        <v>46149</v>
      </c>
      <c r="Q431" s="43">
        <f t="shared" si="33"/>
        <v>8</v>
      </c>
      <c r="R431" s="21" t="s">
        <v>99</v>
      </c>
      <c r="S431" s="26">
        <f t="shared" si="34"/>
        <v>13</v>
      </c>
      <c r="T431" s="29" t="str" cm="1">
        <f t="array" aca="1" ref="T431" ca="1">IFERROR(ROUND(CENTILE.SI.ENS($Q$2:$Q$2202,0.5,$E$2:$E$2202,E431,$Q$2:$Q$2202,"&gt;0"),0),"N/D")</f>
        <v>N/D</v>
      </c>
      <c r="U431" s="74">
        <f t="shared" si="35"/>
        <v>46157</v>
      </c>
    </row>
    <row r="432" spans="1:21" ht="11.25" hidden="1" customHeight="1" x14ac:dyDescent="0.2">
      <c r="A432" s="5" t="s">
        <v>55</v>
      </c>
      <c r="B432" s="5">
        <v>46143</v>
      </c>
      <c r="D432" s="6">
        <v>202604011</v>
      </c>
      <c r="E432" s="7" t="s">
        <v>26</v>
      </c>
      <c r="F432" s="7" t="s">
        <v>49</v>
      </c>
      <c r="G432" s="8" t="s">
        <v>19</v>
      </c>
      <c r="H432" s="9">
        <v>21</v>
      </c>
      <c r="I432" s="7" t="s">
        <v>25</v>
      </c>
      <c r="J432" s="13">
        <v>46125</v>
      </c>
      <c r="K432" s="14">
        <v>220</v>
      </c>
      <c r="L432" s="15" t="s">
        <v>20</v>
      </c>
      <c r="N432" s="44"/>
      <c r="P432" s="21">
        <v>46149</v>
      </c>
      <c r="Q432" s="43">
        <f t="shared" si="33"/>
        <v>6</v>
      </c>
      <c r="R432" s="21" t="s">
        <v>99</v>
      </c>
      <c r="S432" s="26">
        <f t="shared" si="34"/>
        <v>13</v>
      </c>
      <c r="T432" s="29" t="str" cm="1">
        <f t="array" aca="1" ref="T432" ca="1">IFERROR(ROUND(CENTILE.SI.ENS($Q$2:$Q$2202,0.5,$E$2:$E$2202,E432,$Q$2:$Q$2202,"&gt;0"),0),"N/D")</f>
        <v>N/D</v>
      </c>
      <c r="U432" s="74">
        <f t="shared" si="35"/>
        <v>46159</v>
      </c>
    </row>
    <row r="433" spans="1:21" ht="11.25" hidden="1" customHeight="1" x14ac:dyDescent="0.2">
      <c r="A433" s="5" t="s">
        <v>55</v>
      </c>
      <c r="B433" s="5">
        <v>46148</v>
      </c>
      <c r="D433" s="6">
        <v>202604018</v>
      </c>
      <c r="E433" s="7" t="s">
        <v>26</v>
      </c>
      <c r="F433" s="7" t="s">
        <v>24</v>
      </c>
      <c r="G433" s="8" t="s">
        <v>19</v>
      </c>
      <c r="H433" s="9">
        <v>21</v>
      </c>
      <c r="I433" s="7" t="s">
        <v>25</v>
      </c>
      <c r="J433" s="13">
        <v>46128</v>
      </c>
      <c r="K433" s="14">
        <v>170</v>
      </c>
      <c r="L433" s="15" t="s">
        <v>20</v>
      </c>
      <c r="N433" s="44"/>
      <c r="P433" s="21">
        <v>46149</v>
      </c>
      <c r="Q433" s="43">
        <f t="shared" si="33"/>
        <v>1</v>
      </c>
      <c r="R433" s="21" t="s">
        <v>99</v>
      </c>
      <c r="S433" s="26">
        <f t="shared" si="34"/>
        <v>13</v>
      </c>
      <c r="T433" s="29"/>
      <c r="U433" s="74">
        <f t="shared" si="35"/>
        <v>46164</v>
      </c>
    </row>
    <row r="434" spans="1:21" ht="11.25" hidden="1" customHeight="1" x14ac:dyDescent="0.2">
      <c r="A434" s="5" t="s">
        <v>55</v>
      </c>
      <c r="B434" s="5">
        <v>46150</v>
      </c>
      <c r="D434" s="6">
        <v>202604022</v>
      </c>
      <c r="E434" s="7" t="s">
        <v>26</v>
      </c>
      <c r="F434" s="7" t="s">
        <v>29</v>
      </c>
      <c r="G434" s="8" t="s">
        <v>19</v>
      </c>
      <c r="H434" s="9">
        <v>21</v>
      </c>
      <c r="I434" s="7" t="s">
        <v>25</v>
      </c>
      <c r="J434" s="13">
        <v>46130</v>
      </c>
      <c r="K434" s="14">
        <v>210</v>
      </c>
      <c r="L434" s="15" t="s">
        <v>20</v>
      </c>
      <c r="N434" s="44"/>
      <c r="P434" s="21">
        <v>46149</v>
      </c>
      <c r="Q434" s="43">
        <f t="shared" si="33"/>
        <v>-1</v>
      </c>
      <c r="R434" s="21" t="s">
        <v>99</v>
      </c>
      <c r="S434" s="26">
        <f t="shared" si="34"/>
        <v>13</v>
      </c>
      <c r="T434" s="29"/>
      <c r="U434" s="74">
        <f t="shared" si="35"/>
        <v>46166</v>
      </c>
    </row>
    <row r="435" spans="1:21" ht="11.25" hidden="1" customHeight="1" x14ac:dyDescent="0.2">
      <c r="A435" s="5" t="s">
        <v>55</v>
      </c>
      <c r="B435" s="5">
        <v>46178</v>
      </c>
      <c r="D435" s="6">
        <v>202605019</v>
      </c>
      <c r="E435" s="7" t="s">
        <v>26</v>
      </c>
      <c r="F435" s="7" t="s">
        <v>29</v>
      </c>
      <c r="G435" s="8" t="s">
        <v>19</v>
      </c>
      <c r="H435" s="9">
        <v>21</v>
      </c>
      <c r="I435" s="7" t="s">
        <v>25</v>
      </c>
      <c r="J435" s="13">
        <v>46160</v>
      </c>
      <c r="K435" s="14">
        <v>220</v>
      </c>
      <c r="L435" s="15" t="s">
        <v>20</v>
      </c>
      <c r="M435" s="16"/>
      <c r="N435" s="44"/>
      <c r="O435" s="17"/>
      <c r="P435" s="21">
        <v>46185</v>
      </c>
      <c r="Q435" s="43">
        <f t="shared" si="33"/>
        <v>7</v>
      </c>
      <c r="S435" s="26">
        <f t="shared" si="34"/>
        <v>13</v>
      </c>
      <c r="T435" s="29"/>
      <c r="U435" s="74">
        <f t="shared" si="35"/>
        <v>46194</v>
      </c>
    </row>
    <row r="436" spans="1:21" ht="11.25" hidden="1" customHeight="1" x14ac:dyDescent="0.2">
      <c r="A436" s="5" t="s">
        <v>55</v>
      </c>
      <c r="B436" s="5">
        <v>46185</v>
      </c>
      <c r="D436" s="6">
        <v>202605026</v>
      </c>
      <c r="E436" s="7" t="s">
        <v>26</v>
      </c>
      <c r="F436" s="7" t="s">
        <v>24</v>
      </c>
      <c r="G436" s="8" t="s">
        <v>19</v>
      </c>
      <c r="H436" s="9">
        <v>21</v>
      </c>
      <c r="I436" s="7" t="s">
        <v>25</v>
      </c>
      <c r="J436" s="13">
        <v>46165</v>
      </c>
      <c r="K436" s="14">
        <v>190</v>
      </c>
      <c r="L436" s="15" t="s">
        <v>20</v>
      </c>
      <c r="M436" s="16"/>
      <c r="N436" s="44"/>
      <c r="O436" s="17"/>
      <c r="P436" s="21">
        <v>46185</v>
      </c>
      <c r="Q436" s="43">
        <f t="shared" si="33"/>
        <v>0</v>
      </c>
      <c r="S436" s="26">
        <f t="shared" si="34"/>
        <v>13</v>
      </c>
      <c r="T436" s="29"/>
      <c r="U436" s="74">
        <f t="shared" si="35"/>
        <v>46201</v>
      </c>
    </row>
    <row r="437" spans="1:21" ht="11.25" hidden="1" customHeight="1" x14ac:dyDescent="0.2">
      <c r="A437" s="5" t="s">
        <v>55</v>
      </c>
      <c r="B437" s="5">
        <v>46196</v>
      </c>
      <c r="D437" s="6">
        <v>202606002</v>
      </c>
      <c r="E437" s="7" t="s">
        <v>26</v>
      </c>
      <c r="F437" s="7" t="s">
        <v>29</v>
      </c>
      <c r="G437" s="8" t="s">
        <v>19</v>
      </c>
      <c r="H437" s="9">
        <v>21</v>
      </c>
      <c r="I437" s="7" t="s">
        <v>25</v>
      </c>
      <c r="J437" s="13">
        <v>46176</v>
      </c>
      <c r="K437" s="14">
        <v>200</v>
      </c>
      <c r="L437" s="15" t="s">
        <v>20</v>
      </c>
      <c r="M437" s="16"/>
      <c r="N437" s="44"/>
      <c r="O437" s="17"/>
      <c r="P437" s="21">
        <v>46213</v>
      </c>
      <c r="Q437" s="43">
        <f t="shared" si="33"/>
        <v>17</v>
      </c>
      <c r="S437" s="26">
        <f t="shared" si="34"/>
        <v>13</v>
      </c>
      <c r="T437" s="29" t="str" cm="1">
        <f t="array" aca="1" ref="T437" ca="1">IFERROR(ROUND(CENTILE.SI.ENS($Q$2:$Q$2202,0.5,$E$2:$E$2202,E437,$Q$2:$Q$2202,"&gt;0"),0),"N/D")</f>
        <v>N/D</v>
      </c>
      <c r="U437" s="74">
        <f t="shared" si="35"/>
        <v>46212</v>
      </c>
    </row>
    <row r="438" spans="1:21" ht="11.25" hidden="1" customHeight="1" x14ac:dyDescent="0.2">
      <c r="A438" s="5" t="s">
        <v>55</v>
      </c>
      <c r="B438" s="5">
        <v>46197</v>
      </c>
      <c r="D438" s="6">
        <v>202606005</v>
      </c>
      <c r="E438" s="7" t="s">
        <v>26</v>
      </c>
      <c r="F438" s="7" t="s">
        <v>49</v>
      </c>
      <c r="G438" s="8" t="s">
        <v>19</v>
      </c>
      <c r="H438" s="9">
        <v>21</v>
      </c>
      <c r="I438" s="7" t="s">
        <v>25</v>
      </c>
      <c r="J438" s="13">
        <v>46177</v>
      </c>
      <c r="K438" s="14">
        <v>210</v>
      </c>
      <c r="L438" s="15" t="s">
        <v>20</v>
      </c>
      <c r="M438" s="16"/>
      <c r="N438" s="44"/>
      <c r="O438" s="17"/>
      <c r="P438" s="21">
        <v>46213</v>
      </c>
      <c r="Q438" s="43">
        <f t="shared" si="33"/>
        <v>16</v>
      </c>
      <c r="S438" s="26">
        <f t="shared" si="34"/>
        <v>13</v>
      </c>
      <c r="T438" s="29"/>
      <c r="U438" s="74">
        <f t="shared" si="35"/>
        <v>46213</v>
      </c>
    </row>
    <row r="439" spans="1:21" ht="11.25" hidden="1" customHeight="1" x14ac:dyDescent="0.2">
      <c r="A439" s="5" t="s">
        <v>55</v>
      </c>
      <c r="B439" s="5">
        <v>46199</v>
      </c>
      <c r="D439" s="6">
        <v>202606008</v>
      </c>
      <c r="E439" s="7" t="s">
        <v>26</v>
      </c>
      <c r="F439" s="7" t="s">
        <v>24</v>
      </c>
      <c r="G439" s="8" t="s">
        <v>19</v>
      </c>
      <c r="H439" s="9">
        <v>21</v>
      </c>
      <c r="I439" s="7" t="s">
        <v>25</v>
      </c>
      <c r="J439" s="13">
        <v>46181</v>
      </c>
      <c r="K439" s="14">
        <v>230</v>
      </c>
      <c r="L439" s="15" t="s">
        <v>20</v>
      </c>
      <c r="M439" s="16"/>
      <c r="N439" s="44"/>
      <c r="O439" s="17"/>
      <c r="P439" s="21">
        <v>46213</v>
      </c>
      <c r="Q439" s="43">
        <f t="shared" ref="Q439:Q453" si="38">IF(P439="","En attente paiement",P439-B439)</f>
        <v>14</v>
      </c>
      <c r="S439" s="26">
        <f t="shared" si="34"/>
        <v>13</v>
      </c>
      <c r="T439" s="29" t="str" cm="1">
        <f t="array" aca="1" ref="T439" ca="1">IFERROR(ROUND(CENTILE.SI.ENS($Q$2:$Q$2202,0.5,$E$2:$E$2202,E439,$Q$2:$Q$2202,"&gt;0"),0),"N/D")</f>
        <v>N/D</v>
      </c>
      <c r="U439" s="74">
        <f t="shared" si="35"/>
        <v>46215</v>
      </c>
    </row>
    <row r="440" spans="1:21" ht="11.25" hidden="1" customHeight="1" x14ac:dyDescent="0.2">
      <c r="A440" s="5" t="s">
        <v>55</v>
      </c>
      <c r="B440" s="5">
        <v>46211</v>
      </c>
      <c r="D440" s="6">
        <v>202606025</v>
      </c>
      <c r="E440" s="7" t="s">
        <v>26</v>
      </c>
      <c r="F440" s="7" t="s">
        <v>29</v>
      </c>
      <c r="G440" s="8" t="s">
        <v>19</v>
      </c>
      <c r="H440" s="9">
        <v>21</v>
      </c>
      <c r="I440" s="7" t="s">
        <v>25</v>
      </c>
      <c r="J440" s="13">
        <v>46191</v>
      </c>
      <c r="K440" s="14">
        <v>220</v>
      </c>
      <c r="L440" s="15" t="s">
        <v>20</v>
      </c>
      <c r="M440" s="16"/>
      <c r="N440" s="44"/>
      <c r="O440" s="17"/>
      <c r="P440" s="21">
        <v>46213</v>
      </c>
      <c r="Q440" s="43">
        <f t="shared" si="38"/>
        <v>2</v>
      </c>
      <c r="S440" s="26">
        <f t="shared" si="34"/>
        <v>13</v>
      </c>
      <c r="T440" s="29" t="str" cm="1">
        <f t="array" aca="1" ref="T440" ca="1">IFERROR(ROUND(CENTILE.SI.ENS($Q$2:$Q$2202,0.5,$E$2:$E$2202,E440,$Q$2:$Q$2202,"&gt;0"),0),"N/D")</f>
        <v>N/D</v>
      </c>
      <c r="U440" s="74">
        <f t="shared" si="35"/>
        <v>46227</v>
      </c>
    </row>
    <row r="441" spans="1:21" ht="11.25" hidden="1" customHeight="1" x14ac:dyDescent="0.25">
      <c r="A441" s="5" t="s">
        <v>55</v>
      </c>
      <c r="B441" s="5">
        <v>46213</v>
      </c>
      <c r="D441" s="6">
        <v>202606030</v>
      </c>
      <c r="E441" s="7" t="s">
        <v>26</v>
      </c>
      <c r="F441" s="7" t="s">
        <v>49</v>
      </c>
      <c r="G441" s="8" t="s">
        <v>19</v>
      </c>
      <c r="H441" s="9">
        <v>21</v>
      </c>
      <c r="I441" s="7" t="s">
        <v>25</v>
      </c>
      <c r="J441" s="13">
        <v>46193</v>
      </c>
      <c r="K441" s="14">
        <v>210</v>
      </c>
      <c r="L441" s="15" t="s">
        <v>20</v>
      </c>
      <c r="M441" s="46"/>
      <c r="N441" s="44"/>
      <c r="O441" s="17"/>
      <c r="P441" s="21">
        <v>46213</v>
      </c>
      <c r="Q441" s="43">
        <f t="shared" si="38"/>
        <v>0</v>
      </c>
      <c r="S441" s="26">
        <f t="shared" si="34"/>
        <v>13</v>
      </c>
      <c r="T441" s="29"/>
      <c r="U441" s="74">
        <f t="shared" si="35"/>
        <v>46229</v>
      </c>
    </row>
    <row r="442" spans="1:21" ht="11.25" hidden="1" customHeight="1" x14ac:dyDescent="0.25">
      <c r="A442" s="5" t="s">
        <v>55</v>
      </c>
      <c r="B442" s="5">
        <v>46216</v>
      </c>
      <c r="D442" s="6">
        <v>202606034</v>
      </c>
      <c r="E442" s="7" t="s">
        <v>26</v>
      </c>
      <c r="F442" s="7" t="s">
        <v>24</v>
      </c>
      <c r="G442" s="8" t="s">
        <v>19</v>
      </c>
      <c r="H442" s="9">
        <v>21</v>
      </c>
      <c r="I442" s="7" t="s">
        <v>25</v>
      </c>
      <c r="J442" s="13">
        <v>46196</v>
      </c>
      <c r="K442" s="14">
        <v>240</v>
      </c>
      <c r="L442" s="15" t="s">
        <v>20</v>
      </c>
      <c r="M442" s="46"/>
      <c r="N442" s="44"/>
      <c r="O442" s="17"/>
      <c r="P442" s="21">
        <v>46213</v>
      </c>
      <c r="Q442" s="43">
        <f t="shared" si="38"/>
        <v>-3</v>
      </c>
      <c r="S442" s="26">
        <f t="shared" si="34"/>
        <v>13</v>
      </c>
      <c r="T442" s="29" t="str" cm="1">
        <f t="array" aca="1" ref="T442" ca="1">IFERROR(ROUND(CENTILE.SI.ENS($Q$2:$Q$2202,0.5,$E$2:$E$2202,E442,$Q$2:$Q$2202,"&gt;0"),0),"N/D")</f>
        <v>N/D</v>
      </c>
      <c r="U442" s="74">
        <f t="shared" si="35"/>
        <v>46232</v>
      </c>
    </row>
    <row r="443" spans="1:21" ht="11.25" hidden="1" customHeight="1" x14ac:dyDescent="0.2">
      <c r="A443" s="5" t="s">
        <v>55</v>
      </c>
      <c r="B443" s="5">
        <v>46226</v>
      </c>
      <c r="D443" s="6">
        <v>202607005</v>
      </c>
      <c r="E443" s="7" t="s">
        <v>26</v>
      </c>
      <c r="F443" s="7" t="s">
        <v>29</v>
      </c>
      <c r="G443" s="8" t="s">
        <v>19</v>
      </c>
      <c r="H443" s="9">
        <v>21</v>
      </c>
      <c r="I443" s="7" t="s">
        <v>25</v>
      </c>
      <c r="J443" s="13">
        <v>46206</v>
      </c>
      <c r="K443" s="14">
        <v>240</v>
      </c>
      <c r="L443" s="15" t="s">
        <v>20</v>
      </c>
      <c r="M443" s="16"/>
      <c r="N443" s="44"/>
      <c r="O443" s="17"/>
      <c r="P443" s="21">
        <v>46233</v>
      </c>
      <c r="Q443" s="43">
        <f t="shared" si="38"/>
        <v>7</v>
      </c>
      <c r="S443" s="26">
        <f t="shared" si="34"/>
        <v>13</v>
      </c>
      <c r="T443" s="29" t="str" cm="1">
        <f t="array" aca="1" ref="T443" ca="1">IFERROR(ROUND(CENTILE.SI.ENS($Q$2:$Q$2202,0.5,$E$2:$E$2202,E443,$Q$2:$Q$2202,"&gt;0"),0),"N/D")</f>
        <v>N/D</v>
      </c>
      <c r="U443" s="74">
        <f t="shared" si="35"/>
        <v>46242</v>
      </c>
    </row>
    <row r="444" spans="1:21" ht="11.25" hidden="1" customHeight="1" x14ac:dyDescent="0.2">
      <c r="A444" s="5" t="s">
        <v>55</v>
      </c>
      <c r="B444" s="5">
        <v>46227</v>
      </c>
      <c r="D444" s="6">
        <v>202607007</v>
      </c>
      <c r="E444" s="7" t="s">
        <v>26</v>
      </c>
      <c r="F444" s="7" t="s">
        <v>49</v>
      </c>
      <c r="G444" s="8" t="s">
        <v>19</v>
      </c>
      <c r="H444" s="9">
        <v>21</v>
      </c>
      <c r="I444" s="7" t="s">
        <v>25</v>
      </c>
      <c r="J444" s="13">
        <v>46227</v>
      </c>
      <c r="K444" s="14">
        <v>200</v>
      </c>
      <c r="L444" s="15" t="s">
        <v>20</v>
      </c>
      <c r="M444" s="16"/>
      <c r="N444" s="44"/>
      <c r="O444" s="17"/>
      <c r="P444" s="21">
        <v>46233</v>
      </c>
      <c r="Q444" s="43">
        <f t="shared" si="38"/>
        <v>6</v>
      </c>
      <c r="S444" s="26">
        <f t="shared" si="34"/>
        <v>13</v>
      </c>
      <c r="T444" s="29" t="str" cm="1">
        <f t="array" aca="1" ref="T444" ca="1">IFERROR(ROUND(CENTILE.SI.ENS($Q$2:$Q$2202,0.5,$E$2:$E$2202,E444,$Q$2:$Q$2202,"&gt;0"),0),"N/D")</f>
        <v>N/D</v>
      </c>
      <c r="U444" s="74">
        <f t="shared" si="35"/>
        <v>46243</v>
      </c>
    </row>
    <row r="445" spans="1:21" ht="11.25" hidden="1" customHeight="1" x14ac:dyDescent="0.2">
      <c r="A445" s="5" t="s">
        <v>55</v>
      </c>
      <c r="B445" s="5">
        <v>46231</v>
      </c>
      <c r="D445" s="6">
        <v>202607014</v>
      </c>
      <c r="E445" s="7" t="s">
        <v>26</v>
      </c>
      <c r="F445" s="7" t="s">
        <v>24</v>
      </c>
      <c r="G445" s="8" t="s">
        <v>19</v>
      </c>
      <c r="H445" s="9">
        <v>21</v>
      </c>
      <c r="I445" s="7" t="s">
        <v>25</v>
      </c>
      <c r="J445" s="13">
        <v>46211</v>
      </c>
      <c r="K445" s="14">
        <v>260</v>
      </c>
      <c r="L445" s="15" t="s">
        <v>20</v>
      </c>
      <c r="M445" s="16"/>
      <c r="N445" s="44"/>
      <c r="O445" s="17"/>
      <c r="P445" s="21">
        <v>46233</v>
      </c>
      <c r="Q445" s="43">
        <f t="shared" si="38"/>
        <v>2</v>
      </c>
      <c r="S445" s="26">
        <f t="shared" si="34"/>
        <v>13</v>
      </c>
      <c r="T445" s="29"/>
      <c r="U445" s="74">
        <f t="shared" si="35"/>
        <v>46247</v>
      </c>
    </row>
    <row r="446" spans="1:21" ht="14.25" customHeight="1" x14ac:dyDescent="0.2">
      <c r="A446" s="5" t="s">
        <v>55</v>
      </c>
      <c r="B446" s="5">
        <v>46282</v>
      </c>
      <c r="D446" s="6">
        <v>202608008</v>
      </c>
      <c r="E446" s="7" t="s">
        <v>106</v>
      </c>
      <c r="F446" s="7" t="s">
        <v>560</v>
      </c>
      <c r="G446" s="8" t="s">
        <v>22</v>
      </c>
      <c r="H446" s="9">
        <v>45</v>
      </c>
      <c r="I446" s="7" t="s">
        <v>217</v>
      </c>
      <c r="J446" s="13">
        <v>46238</v>
      </c>
      <c r="K446" s="14">
        <v>192612.96</v>
      </c>
      <c r="L446" s="15" t="s">
        <v>34</v>
      </c>
      <c r="Q446" s="43" t="str">
        <f t="shared" si="38"/>
        <v>En attente paiement</v>
      </c>
      <c r="S446" s="26">
        <f t="shared" ref="S446:S451" si="39">IFERROR(ROUND(AVERAGEIF($E$2:$E$2202,E446,$Q$2:$Q$2202),0),"N/D")</f>
        <v>-1</v>
      </c>
      <c r="T446" s="29" t="str" cm="1">
        <f t="array" aca="1" ref="T446" ca="1">IFERROR(ROUND(CENTILE.SI.ENS($Q$2:$Q$2202,0.5,$E$2:$E$2202,E446,$Q$2:$Q$2202,"&gt;0"),0),"N/D")</f>
        <v>N/D</v>
      </c>
      <c r="U446" s="74">
        <f t="shared" ref="U446:U451" si="40">IFERROR(B446+ROUNDUP(AVERAGEIF($E$2:$E$2202,E446,$Q$2:$Q$2202)*1.2,0),"N/D")</f>
        <v>46281</v>
      </c>
    </row>
    <row r="447" spans="1:21" ht="14.25" customHeight="1" x14ac:dyDescent="0.2">
      <c r="A447" s="5" t="s">
        <v>55</v>
      </c>
      <c r="B447" s="5">
        <v>46283</v>
      </c>
      <c r="D447" s="6">
        <v>202608013</v>
      </c>
      <c r="E447" s="7" t="s">
        <v>36</v>
      </c>
      <c r="F447" s="7" t="s">
        <v>293</v>
      </c>
      <c r="G447" s="8" t="s">
        <v>22</v>
      </c>
      <c r="H447" s="9">
        <v>45</v>
      </c>
      <c r="I447" s="7" t="s">
        <v>548</v>
      </c>
      <c r="J447" s="13">
        <v>46240</v>
      </c>
      <c r="K447" s="14">
        <v>97116.4</v>
      </c>
      <c r="L447" s="15" t="s">
        <v>34</v>
      </c>
      <c r="Q447" s="43" t="str">
        <f t="shared" si="38"/>
        <v>En attente paiement</v>
      </c>
      <c r="S447" s="26">
        <f t="shared" si="39"/>
        <v>22</v>
      </c>
      <c r="T447" s="29" t="str" cm="1">
        <f t="array" aca="1" ref="T447" ca="1">IFERROR(ROUND(CENTILE.SI.ENS($Q$2:$Q$2202,0.5,$E$2:$E$2202,E447,$Q$2:$Q$2202,"&gt;0"),0),"N/D")</f>
        <v>N/D</v>
      </c>
      <c r="U447" s="74">
        <f t="shared" si="40"/>
        <v>46310</v>
      </c>
    </row>
    <row r="448" spans="1:21" ht="14.25" customHeight="1" x14ac:dyDescent="0.2">
      <c r="A448" s="5" t="s">
        <v>58</v>
      </c>
      <c r="B448" s="5">
        <v>46287</v>
      </c>
      <c r="D448" s="6">
        <v>202608010</v>
      </c>
      <c r="E448" s="7" t="s">
        <v>77</v>
      </c>
      <c r="F448" s="7" t="s">
        <v>563</v>
      </c>
      <c r="G448" s="8" t="s">
        <v>22</v>
      </c>
      <c r="H448" s="9">
        <v>45</v>
      </c>
      <c r="I448" s="7" t="s">
        <v>564</v>
      </c>
      <c r="J448" s="13">
        <v>46243</v>
      </c>
      <c r="K448" s="14">
        <v>327591.41600000003</v>
      </c>
      <c r="L448" s="15" t="s">
        <v>20</v>
      </c>
      <c r="Q448" s="43" t="str">
        <f t="shared" si="38"/>
        <v>En attente paiement</v>
      </c>
      <c r="S448" s="26">
        <f t="shared" si="39"/>
        <v>10</v>
      </c>
      <c r="T448" s="29" t="str" cm="1">
        <f t="array" aca="1" ref="T448" ca="1">IFERROR(ROUND(CENTILE.SI.ENS($Q$2:$Q$2202,0.5,$E$2:$E$2202,E448,$Q$2:$Q$2202,"&gt;0"),0),"N/D")</f>
        <v>N/D</v>
      </c>
      <c r="U448" s="74">
        <f t="shared" si="40"/>
        <v>46299</v>
      </c>
    </row>
    <row r="449" spans="1:21" ht="14.25" customHeight="1" x14ac:dyDescent="0.2">
      <c r="A449" s="5" t="s">
        <v>55</v>
      </c>
      <c r="B449" s="5">
        <v>46288</v>
      </c>
      <c r="D449" s="6">
        <v>202608011</v>
      </c>
      <c r="E449" s="7" t="s">
        <v>491</v>
      </c>
      <c r="F449" s="7" t="s">
        <v>565</v>
      </c>
      <c r="G449" s="8" t="s">
        <v>22</v>
      </c>
      <c r="H449" s="9">
        <v>45</v>
      </c>
      <c r="I449" s="7" t="s">
        <v>306</v>
      </c>
      <c r="J449" s="13">
        <v>46244</v>
      </c>
      <c r="K449" s="14">
        <v>69346.070000000007</v>
      </c>
      <c r="L449" s="15" t="s">
        <v>34</v>
      </c>
      <c r="Q449" s="43" t="str">
        <f t="shared" si="38"/>
        <v>En attente paiement</v>
      </c>
      <c r="S449" s="26">
        <f t="shared" si="39"/>
        <v>14</v>
      </c>
      <c r="T449" s="29" t="str" cm="1">
        <f t="array" aca="1" ref="T449" ca="1">IFERROR(ROUND(CENTILE.SI.ENS($Q$2:$Q$2202,0.5,$E$2:$E$2202,E449,$Q$2:$Q$2202,"&gt;0"),0),"N/D")</f>
        <v>N/D</v>
      </c>
      <c r="U449" s="74">
        <f t="shared" si="40"/>
        <v>46305</v>
      </c>
    </row>
    <row r="450" spans="1:21" ht="14.25" customHeight="1" x14ac:dyDescent="0.2">
      <c r="A450" s="5" t="s">
        <v>55</v>
      </c>
      <c r="B450" s="5">
        <v>46288</v>
      </c>
      <c r="D450" s="6">
        <v>202608014</v>
      </c>
      <c r="E450" s="7" t="s">
        <v>36</v>
      </c>
      <c r="F450" s="7" t="s">
        <v>345</v>
      </c>
      <c r="G450" s="8" t="s">
        <v>22</v>
      </c>
      <c r="H450" s="9">
        <v>45</v>
      </c>
      <c r="I450" s="7" t="s">
        <v>398</v>
      </c>
      <c r="J450" s="13">
        <v>46244</v>
      </c>
      <c r="K450" s="14">
        <v>59731.08</v>
      </c>
      <c r="L450" s="15" t="s">
        <v>34</v>
      </c>
      <c r="Q450" s="43" t="str">
        <f t="shared" si="38"/>
        <v>En attente paiement</v>
      </c>
      <c r="S450" s="26">
        <f t="shared" si="39"/>
        <v>22</v>
      </c>
      <c r="T450" s="29" t="str" cm="1">
        <f t="array" aca="1" ref="T450" ca="1">IFERROR(ROUND(CENTILE.SI.ENS($Q$2:$Q$2202,0.5,$E$2:$E$2202,E450,$Q$2:$Q$2202,"&gt;0"),0),"N/D")</f>
        <v>N/D</v>
      </c>
      <c r="U450" s="74">
        <f t="shared" si="40"/>
        <v>46315</v>
      </c>
    </row>
    <row r="451" spans="1:21" ht="14.25" customHeight="1" x14ac:dyDescent="0.2">
      <c r="A451" s="5" t="s">
        <v>55</v>
      </c>
      <c r="B451" s="5">
        <v>46289</v>
      </c>
      <c r="D451" s="6">
        <v>202608012</v>
      </c>
      <c r="E451" s="7" t="s">
        <v>36</v>
      </c>
      <c r="F451" s="7" t="s">
        <v>47</v>
      </c>
      <c r="G451" s="8" t="s">
        <v>22</v>
      </c>
      <c r="H451" s="9">
        <v>45</v>
      </c>
      <c r="I451" s="7" t="s">
        <v>566</v>
      </c>
      <c r="J451" s="13">
        <v>46245</v>
      </c>
      <c r="K451" s="14">
        <v>85165.19</v>
      </c>
      <c r="L451" s="15" t="s">
        <v>34</v>
      </c>
      <c r="Q451" s="43" t="str">
        <f t="shared" si="38"/>
        <v>En attente paiement</v>
      </c>
      <c r="S451" s="26">
        <f t="shared" si="39"/>
        <v>22</v>
      </c>
      <c r="T451" s="29" t="str" cm="1">
        <f t="array" aca="1" ref="T451" ca="1">IFERROR(ROUND(CENTILE.SI.ENS($Q$2:$Q$2202,0.5,$E$2:$E$2202,E451,$Q$2:$Q$2202,"&gt;0"),0),"N/D")</f>
        <v>N/D</v>
      </c>
      <c r="U451" s="74">
        <f t="shared" si="40"/>
        <v>46316</v>
      </c>
    </row>
    <row r="452" spans="1:21" ht="11.25" hidden="1" customHeight="1" x14ac:dyDescent="0.2">
      <c r="A452" s="5" t="s">
        <v>378</v>
      </c>
      <c r="B452" s="5">
        <v>46162</v>
      </c>
      <c r="D452" s="6">
        <v>202604030</v>
      </c>
      <c r="E452" s="7" t="s">
        <v>379</v>
      </c>
      <c r="F452" s="7" t="s">
        <v>380</v>
      </c>
      <c r="G452" s="8" t="s">
        <v>19</v>
      </c>
      <c r="H452" s="9">
        <v>30</v>
      </c>
      <c r="I452" s="7" t="s">
        <v>381</v>
      </c>
      <c r="J452" s="13">
        <v>46133</v>
      </c>
      <c r="K452" s="24">
        <v>686974.9</v>
      </c>
      <c r="L452" s="15" t="s">
        <v>20</v>
      </c>
      <c r="M452" s="18">
        <v>46177</v>
      </c>
      <c r="N452" s="44"/>
      <c r="P452" s="21">
        <v>46174</v>
      </c>
      <c r="Q452" s="43">
        <f t="shared" si="38"/>
        <v>12</v>
      </c>
      <c r="R452" s="22">
        <v>46161</v>
      </c>
      <c r="S452" s="26">
        <f t="shared" ref="S449:S452" si="41">IFERROR(ROUND(AVERAGEIF($E$2:$E$2202,E452,$Q$2:$Q$2202),0),"N/D")</f>
        <v>12</v>
      </c>
      <c r="T452" s="29"/>
      <c r="U452" s="74">
        <f t="shared" ref="U449:U452" si="42">IFERROR(B452+ROUNDUP(AVERAGEIF($E$2:$E$2202,E452,$Q$2:$Q$2202)*1.2,0),"N/D")</f>
        <v>46177</v>
      </c>
    </row>
    <row r="453" spans="1:21" ht="11.25" hidden="1" customHeight="1" x14ac:dyDescent="0.2">
      <c r="A453" s="25" t="s">
        <v>58</v>
      </c>
      <c r="B453" s="25">
        <v>46045</v>
      </c>
      <c r="C453" s="25"/>
      <c r="D453" s="26">
        <v>202511046</v>
      </c>
      <c r="E453" s="27" t="s">
        <v>76</v>
      </c>
      <c r="F453" s="27" t="s">
        <v>102</v>
      </c>
      <c r="G453" s="28" t="s">
        <v>22</v>
      </c>
      <c r="H453" s="11">
        <v>60</v>
      </c>
      <c r="I453" s="29" t="s">
        <v>103</v>
      </c>
      <c r="J453" s="28">
        <v>45988</v>
      </c>
      <c r="K453" s="30">
        <v>140600</v>
      </c>
      <c r="L453" s="31" t="s">
        <v>20</v>
      </c>
      <c r="M453" s="80"/>
      <c r="N453" s="44">
        <v>75801.86</v>
      </c>
      <c r="O453" s="7" t="s">
        <v>428</v>
      </c>
      <c r="P453" s="32">
        <v>46177</v>
      </c>
      <c r="Q453" s="43">
        <f t="shared" si="38"/>
        <v>132</v>
      </c>
      <c r="R453" s="22">
        <v>46009</v>
      </c>
      <c r="S453" s="26">
        <f t="shared" si="34"/>
        <v>132</v>
      </c>
      <c r="T453" s="29" t="str" cm="1">
        <f t="array" aca="1" ref="T453" ca="1">IFERROR(ROUND(CENTILE.SI.ENS($Q$2:$Q$2202,0.5,$E$2:$E$2202,E453,$Q$2:$Q$2202,"&gt;0"),0),"N/D")</f>
        <v>N/D</v>
      </c>
      <c r="U453" s="74">
        <f t="shared" si="35"/>
        <v>46204</v>
      </c>
    </row>
    <row r="454" spans="1:21" ht="11.25" hidden="1" customHeight="1" x14ac:dyDescent="0.2">
      <c r="A454" s="5" t="s">
        <v>58</v>
      </c>
      <c r="B454" s="5">
        <v>46162</v>
      </c>
      <c r="C454" s="5">
        <v>46162</v>
      </c>
      <c r="D454" s="6">
        <v>202605022</v>
      </c>
      <c r="E454" s="7" t="s">
        <v>76</v>
      </c>
      <c r="F454" s="7" t="s">
        <v>102</v>
      </c>
      <c r="G454" s="8" t="s">
        <v>22</v>
      </c>
      <c r="H454" s="9">
        <v>0</v>
      </c>
      <c r="I454" s="10" t="s">
        <v>103</v>
      </c>
      <c r="J454" s="13">
        <v>46162</v>
      </c>
      <c r="K454" s="14">
        <v>11003.73</v>
      </c>
      <c r="L454" s="15" t="s">
        <v>20</v>
      </c>
      <c r="N454" s="44"/>
      <c r="O454" s="7" t="s">
        <v>207</v>
      </c>
      <c r="P454" s="32">
        <v>46177</v>
      </c>
      <c r="Q454" s="43"/>
      <c r="R454" s="21"/>
      <c r="S454" s="26">
        <f t="shared" si="34"/>
        <v>132</v>
      </c>
      <c r="T454" s="29"/>
      <c r="U454" s="74">
        <f t="shared" si="35"/>
        <v>46321</v>
      </c>
    </row>
    <row r="455" spans="1:21" ht="11.25" hidden="1" customHeight="1" x14ac:dyDescent="0.2">
      <c r="A455" s="5" t="s">
        <v>100</v>
      </c>
      <c r="B455" s="5">
        <v>46232</v>
      </c>
      <c r="D455" s="6">
        <v>202607018</v>
      </c>
      <c r="E455" s="7" t="s">
        <v>507</v>
      </c>
      <c r="F455" s="7" t="s">
        <v>372</v>
      </c>
      <c r="G455" s="8" t="s">
        <v>19</v>
      </c>
      <c r="H455" s="9">
        <v>21</v>
      </c>
      <c r="I455" s="7" t="s">
        <v>101</v>
      </c>
      <c r="J455" s="13">
        <v>46212</v>
      </c>
      <c r="K455" s="14">
        <v>85000</v>
      </c>
      <c r="L455" s="15" t="s">
        <v>20</v>
      </c>
      <c r="M455" s="16"/>
      <c r="N455" s="44"/>
      <c r="O455" s="17"/>
      <c r="P455" s="21">
        <v>46232</v>
      </c>
      <c r="Q455" s="43">
        <f>IF(P455="","En attente paiement",P455-B455)</f>
        <v>0</v>
      </c>
      <c r="R455" s="22">
        <v>46206</v>
      </c>
      <c r="S455" s="26">
        <f t="shared" ref="S455:S457" si="43">IFERROR(ROUND(AVERAGEIF($E$2:$E$2202,E455,$Q$2:$Q$2202),0),"N/D")</f>
        <v>0</v>
      </c>
      <c r="T455" s="29"/>
      <c r="U455" s="74">
        <f t="shared" ref="U455:U457" si="44">IFERROR(B455+ROUNDUP(AVERAGEIF($E$2:$E$2202,E455,$Q$2:$Q$2202)*1.2,0),"N/D")</f>
        <v>46232</v>
      </c>
    </row>
    <row r="456" spans="1:21" ht="14.25" customHeight="1" x14ac:dyDescent="0.2">
      <c r="A456" s="5" t="s">
        <v>58</v>
      </c>
      <c r="B456" s="5">
        <v>46290</v>
      </c>
      <c r="D456" s="6">
        <v>202607058</v>
      </c>
      <c r="E456" s="7" t="s">
        <v>509</v>
      </c>
      <c r="F456" s="7" t="s">
        <v>545</v>
      </c>
      <c r="G456" s="8" t="s">
        <v>19</v>
      </c>
      <c r="H456" s="9">
        <v>60</v>
      </c>
      <c r="I456" s="7" t="s">
        <v>101</v>
      </c>
      <c r="J456" s="13">
        <v>46231</v>
      </c>
      <c r="K456" s="14">
        <v>62500</v>
      </c>
      <c r="L456" s="15" t="s">
        <v>20</v>
      </c>
      <c r="Q456" s="43" t="str">
        <f>IF(P456="","En attente paiement",P456-B456)</f>
        <v>En attente paiement</v>
      </c>
      <c r="S456" s="26">
        <f t="shared" si="43"/>
        <v>0</v>
      </c>
      <c r="T456" s="29" t="str" cm="1">
        <f t="array" aca="1" ref="T456" ca="1">IFERROR(ROUND(CENTILE.SI.ENS($Q$2:$Q$2202,0.5,$E$2:$E$2202,E456,$Q$2:$Q$2202,"&gt;0"),0),"N/D")</f>
        <v>N/D</v>
      </c>
      <c r="U456" s="74">
        <f t="shared" si="44"/>
        <v>46290</v>
      </c>
    </row>
    <row r="457" spans="1:21" ht="14.25" customHeight="1" x14ac:dyDescent="0.2">
      <c r="A457" s="5" t="s">
        <v>100</v>
      </c>
      <c r="B457" s="5">
        <v>46293</v>
      </c>
      <c r="D457" s="6">
        <v>202608019</v>
      </c>
      <c r="E457" s="7" t="s">
        <v>571</v>
      </c>
      <c r="F457" s="7" t="s">
        <v>572</v>
      </c>
      <c r="G457" s="8" t="s">
        <v>65</v>
      </c>
      <c r="H457" s="9">
        <v>45</v>
      </c>
      <c r="I457" s="7" t="s">
        <v>573</v>
      </c>
      <c r="J457" s="13">
        <v>46249</v>
      </c>
      <c r="K457" s="14">
        <v>35200.869999999995</v>
      </c>
      <c r="L457" s="15" t="s">
        <v>20</v>
      </c>
      <c r="Q457" s="43" t="str">
        <f>IF(P457="","En attente paiement",P457-B457)</f>
        <v>En attente paiement</v>
      </c>
      <c r="S457" s="26" t="str">
        <f t="shared" si="43"/>
        <v>N/D</v>
      </c>
      <c r="T457" s="29" t="str" cm="1">
        <f t="array" aca="1" ref="T457" ca="1">IFERROR(ROUND(CENTILE.SI.ENS($Q$2:$Q$2202,0.5,$E$2:$E$2202,E457,$Q$2:$Q$2202,"&gt;0"),0),"N/D")</f>
        <v>N/D</v>
      </c>
      <c r="U457" s="74" t="str">
        <f t="shared" si="44"/>
        <v>N/D</v>
      </c>
    </row>
    <row r="458" spans="1:21" ht="14.25" customHeight="1" x14ac:dyDescent="0.2">
      <c r="A458" s="5"/>
    </row>
    <row r="459" spans="1:21" ht="14.25" customHeight="1" x14ac:dyDescent="0.2">
      <c r="A459" s="5"/>
    </row>
    <row r="460" spans="1:21" ht="14.25" customHeight="1" x14ac:dyDescent="0.2">
      <c r="A460" s="5"/>
    </row>
    <row r="461" spans="1:21" ht="14.25" customHeight="1" x14ac:dyDescent="0.2">
      <c r="A461" s="5"/>
    </row>
    <row r="462" spans="1:21" ht="14.25" customHeight="1" x14ac:dyDescent="0.2">
      <c r="A462" s="5"/>
    </row>
    <row r="463" spans="1:21" ht="14.25" customHeight="1" x14ac:dyDescent="0.2">
      <c r="A463" s="5"/>
    </row>
    <row r="464" spans="1:21" ht="14.25" customHeight="1" x14ac:dyDescent="0.2">
      <c r="A464" s="5"/>
    </row>
    <row r="465" spans="1:1" x14ac:dyDescent="0.2">
      <c r="A465" s="5"/>
    </row>
    <row r="466" spans="1:1" x14ac:dyDescent="0.2">
      <c r="A466" s="5"/>
    </row>
    <row r="467" spans="1:1" x14ac:dyDescent="0.2">
      <c r="A467" s="5"/>
    </row>
    <row r="468" spans="1:1" x14ac:dyDescent="0.2">
      <c r="A468" s="5"/>
    </row>
    <row r="469" spans="1:1" x14ac:dyDescent="0.2">
      <c r="A469" s="5"/>
    </row>
    <row r="470" spans="1:1" x14ac:dyDescent="0.2">
      <c r="A470" s="5"/>
    </row>
    <row r="471" spans="1:1" x14ac:dyDescent="0.2">
      <c r="A471" s="5"/>
    </row>
    <row r="472" spans="1:1" x14ac:dyDescent="0.2">
      <c r="A472" s="5"/>
    </row>
    <row r="473" spans="1:1" x14ac:dyDescent="0.2">
      <c r="A473" s="5"/>
    </row>
    <row r="474" spans="1:1" x14ac:dyDescent="0.2">
      <c r="A474" s="5"/>
    </row>
    <row r="475" spans="1:1" x14ac:dyDescent="0.2">
      <c r="A475" s="5"/>
    </row>
    <row r="476" spans="1:1" x14ac:dyDescent="0.2">
      <c r="A476" s="5"/>
    </row>
    <row r="477" spans="1:1" x14ac:dyDescent="0.2">
      <c r="A477" s="5"/>
    </row>
    <row r="478" spans="1:1" x14ac:dyDescent="0.2">
      <c r="A478" s="5"/>
    </row>
    <row r="479" spans="1:1" x14ac:dyDescent="0.2">
      <c r="A479" s="5"/>
    </row>
    <row r="480" spans="1:1" x14ac:dyDescent="0.2">
      <c r="A480" s="5"/>
    </row>
    <row r="481" spans="1:1" x14ac:dyDescent="0.2">
      <c r="A481" s="5"/>
    </row>
    <row r="482" spans="1:1" x14ac:dyDescent="0.2">
      <c r="A482" s="5"/>
    </row>
    <row r="483" spans="1:1" x14ac:dyDescent="0.2">
      <c r="A483" s="5"/>
    </row>
    <row r="484" spans="1:1" x14ac:dyDescent="0.2">
      <c r="A484" s="5"/>
    </row>
    <row r="485" spans="1:1" x14ac:dyDescent="0.2">
      <c r="A485" s="5"/>
    </row>
    <row r="486" spans="1:1" x14ac:dyDescent="0.2">
      <c r="A486" s="5"/>
    </row>
    <row r="487" spans="1:1" x14ac:dyDescent="0.2">
      <c r="A487" s="5"/>
    </row>
    <row r="488" spans="1:1" x14ac:dyDescent="0.2">
      <c r="A488" s="5"/>
    </row>
    <row r="489" spans="1:1" x14ac:dyDescent="0.2">
      <c r="A489" s="5"/>
    </row>
    <row r="490" spans="1:1" x14ac:dyDescent="0.2">
      <c r="A490" s="5"/>
    </row>
    <row r="491" spans="1:1" x14ac:dyDescent="0.2">
      <c r="A491" s="5"/>
    </row>
    <row r="492" spans="1:1" x14ac:dyDescent="0.2">
      <c r="A492" s="5"/>
    </row>
    <row r="493" spans="1:1" x14ac:dyDescent="0.2">
      <c r="A493" s="5"/>
    </row>
    <row r="494" spans="1:1" x14ac:dyDescent="0.2">
      <c r="A494" s="5"/>
    </row>
    <row r="495" spans="1:1" x14ac:dyDescent="0.2">
      <c r="A495" s="5"/>
    </row>
    <row r="496" spans="1:1" x14ac:dyDescent="0.2">
      <c r="A496" s="5"/>
    </row>
    <row r="497" spans="1:1" x14ac:dyDescent="0.2">
      <c r="A497" s="5"/>
    </row>
    <row r="498" spans="1:1" x14ac:dyDescent="0.2">
      <c r="A498" s="5"/>
    </row>
    <row r="499" spans="1:1" x14ac:dyDescent="0.2">
      <c r="A499" s="5"/>
    </row>
    <row r="500" spans="1:1" x14ac:dyDescent="0.2">
      <c r="A500" s="5"/>
    </row>
  </sheetData>
  <autoFilter ref="A1:R457" xr:uid="{00000000-0001-0000-0000-000000000000}">
    <filterColumn colId="15">
      <filters blank="1"/>
    </filterColumn>
    <sortState xmlns:xlrd2="http://schemas.microsoft.com/office/spreadsheetml/2017/richdata2" ref="A190:R316">
      <sortCondition ref="B1:B457"/>
    </sortState>
  </autoFilter>
  <pageMargins left="0.70866141732283472" right="0.70866141732283472" top="0.74803149606299213" bottom="0.74803149606299213" header="0.31496062992125984" footer="0.31496062992125984"/>
  <pageSetup paperSize="9" scale="5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40A5-CBDA-436A-8ECF-59976759D439}">
  <sheetPr codeName="Feuil2"/>
  <dimension ref="A1:M93"/>
  <sheetViews>
    <sheetView showGridLines="0" topLeftCell="A64" workbookViewId="0">
      <selection activeCell="A78" sqref="A78"/>
    </sheetView>
  </sheetViews>
  <sheetFormatPr baseColWidth="10" defaultColWidth="11" defaultRowHeight="14.25" x14ac:dyDescent="0.2"/>
  <cols>
    <col min="1" max="1" width="7.875" customWidth="1"/>
    <col min="2" max="2" width="11.125" bestFit="1" customWidth="1"/>
    <col min="3" max="3" width="15.5" bestFit="1" customWidth="1"/>
    <col min="4" max="4" width="19.125" bestFit="1" customWidth="1"/>
    <col min="5" max="5" width="17.5" bestFit="1" customWidth="1"/>
    <col min="6" max="6" width="8.5" bestFit="1" customWidth="1"/>
    <col min="7" max="7" width="15.5" bestFit="1" customWidth="1"/>
    <col min="8" max="8" width="14.125" bestFit="1" customWidth="1"/>
    <col min="9" max="9" width="14.875" bestFit="1" customWidth="1"/>
    <col min="10" max="10" width="10.375" bestFit="1" customWidth="1"/>
    <col min="11" max="11" width="11.875" bestFit="1" customWidth="1"/>
    <col min="12" max="12" width="13.125" bestFit="1" customWidth="1"/>
    <col min="13" max="13" width="24.375" style="71" customWidth="1"/>
  </cols>
  <sheetData>
    <row r="1" spans="1:13" s="54" customFormat="1" ht="13.5" x14ac:dyDescent="0.15">
      <c r="A1" s="47" t="s">
        <v>0</v>
      </c>
      <c r="B1" s="47" t="s">
        <v>1</v>
      </c>
      <c r="C1" s="48" t="s">
        <v>3</v>
      </c>
      <c r="D1" s="48" t="s">
        <v>4</v>
      </c>
      <c r="E1" s="48" t="s">
        <v>5</v>
      </c>
      <c r="F1" s="49" t="s">
        <v>6</v>
      </c>
      <c r="G1" s="50" t="s">
        <v>7</v>
      </c>
      <c r="H1" s="48" t="s">
        <v>8</v>
      </c>
      <c r="I1" s="48" t="s">
        <v>9</v>
      </c>
      <c r="J1" s="51" t="s">
        <v>10</v>
      </c>
      <c r="K1" s="51" t="s">
        <v>11</v>
      </c>
      <c r="L1" s="53" t="s">
        <v>13</v>
      </c>
      <c r="M1" s="52" t="s">
        <v>14</v>
      </c>
    </row>
    <row r="2" spans="1:13" ht="13.5" x14ac:dyDescent="0.15">
      <c r="A2" s="55" t="s">
        <v>55</v>
      </c>
      <c r="B2" s="55">
        <v>46091</v>
      </c>
      <c r="C2" s="56">
        <v>17</v>
      </c>
      <c r="D2" s="56" t="s">
        <v>72</v>
      </c>
      <c r="E2" s="56" t="s">
        <v>57</v>
      </c>
      <c r="F2" s="57" t="s">
        <v>32</v>
      </c>
      <c r="G2" s="58">
        <v>30</v>
      </c>
      <c r="H2" s="56" t="s">
        <v>42</v>
      </c>
      <c r="I2" s="57">
        <v>46062</v>
      </c>
      <c r="J2" s="59">
        <v>102345.36</v>
      </c>
      <c r="K2" s="59" t="s">
        <v>34</v>
      </c>
      <c r="L2" s="60"/>
      <c r="M2" s="68"/>
    </row>
    <row r="3" spans="1:13" ht="13.5" x14ac:dyDescent="0.15">
      <c r="A3" s="62"/>
      <c r="B3" s="62"/>
      <c r="C3" s="61"/>
      <c r="D3" s="61"/>
      <c r="E3" s="61"/>
      <c r="F3" s="63"/>
      <c r="G3" s="64"/>
      <c r="H3" s="61"/>
      <c r="I3" s="63"/>
      <c r="J3" s="60"/>
      <c r="K3" s="60"/>
      <c r="L3" s="60"/>
      <c r="M3" s="68"/>
    </row>
    <row r="4" spans="1:13" ht="13.5" x14ac:dyDescent="0.15">
      <c r="A4" s="55" t="s">
        <v>55</v>
      </c>
      <c r="B4" s="55">
        <v>46093</v>
      </c>
      <c r="C4" s="56">
        <v>202602050</v>
      </c>
      <c r="D4" s="56" t="s">
        <v>247</v>
      </c>
      <c r="E4" s="56" t="s">
        <v>248</v>
      </c>
      <c r="F4" s="57" t="s">
        <v>22</v>
      </c>
      <c r="G4" s="58">
        <v>21</v>
      </c>
      <c r="H4" s="56" t="s">
        <v>249</v>
      </c>
      <c r="I4" s="57">
        <v>46073</v>
      </c>
      <c r="J4" s="59">
        <v>225005</v>
      </c>
      <c r="K4" s="59" t="s">
        <v>20</v>
      </c>
      <c r="L4" s="60"/>
      <c r="M4" s="69" t="s">
        <v>304</v>
      </c>
    </row>
    <row r="5" spans="1:13" ht="13.5" x14ac:dyDescent="0.15">
      <c r="A5" s="55" t="s">
        <v>55</v>
      </c>
      <c r="B5" s="55">
        <v>46106</v>
      </c>
      <c r="C5" s="56">
        <v>202603010</v>
      </c>
      <c r="D5" s="56" t="s">
        <v>247</v>
      </c>
      <c r="E5" s="56" t="s">
        <v>267</v>
      </c>
      <c r="F5" s="57" t="s">
        <v>19</v>
      </c>
      <c r="G5" s="58">
        <v>21</v>
      </c>
      <c r="H5" s="56" t="s">
        <v>274</v>
      </c>
      <c r="I5" s="57">
        <v>46086</v>
      </c>
      <c r="J5" s="59">
        <v>27546.639999999999</v>
      </c>
      <c r="K5" s="59" t="s">
        <v>20</v>
      </c>
      <c r="L5" s="60"/>
      <c r="M5" s="69"/>
    </row>
    <row r="6" spans="1:13" ht="13.5" x14ac:dyDescent="0.15">
      <c r="A6" s="55" t="s">
        <v>55</v>
      </c>
      <c r="B6" s="55">
        <v>46108</v>
      </c>
      <c r="C6" s="56">
        <v>202603009</v>
      </c>
      <c r="D6" s="56" t="s">
        <v>247</v>
      </c>
      <c r="E6" s="56" t="s">
        <v>267</v>
      </c>
      <c r="F6" s="57" t="s">
        <v>19</v>
      </c>
      <c r="G6" s="58">
        <v>21</v>
      </c>
      <c r="H6" s="56" t="s">
        <v>169</v>
      </c>
      <c r="I6" s="57">
        <v>46090</v>
      </c>
      <c r="J6" s="59">
        <v>264197.23</v>
      </c>
      <c r="K6" s="59" t="s">
        <v>20</v>
      </c>
      <c r="L6" s="60"/>
      <c r="M6" s="68"/>
    </row>
    <row r="7" spans="1:13" ht="13.5" x14ac:dyDescent="0.15">
      <c r="A7" s="62"/>
      <c r="B7" s="62"/>
      <c r="C7" s="61"/>
      <c r="D7" s="61"/>
      <c r="E7" s="61"/>
      <c r="F7" s="63"/>
      <c r="G7" s="64"/>
      <c r="H7" s="61"/>
      <c r="I7" s="63"/>
      <c r="J7" s="60"/>
      <c r="K7" s="60"/>
      <c r="L7" s="60"/>
      <c r="M7" s="68"/>
    </row>
    <row r="8" spans="1:13" ht="13.5" x14ac:dyDescent="0.15">
      <c r="A8" s="62" t="s">
        <v>18</v>
      </c>
      <c r="B8" s="62">
        <v>46115</v>
      </c>
      <c r="C8" s="61">
        <v>202603014</v>
      </c>
      <c r="D8" s="61" t="s">
        <v>27</v>
      </c>
      <c r="E8" s="61" t="s">
        <v>280</v>
      </c>
      <c r="F8" s="63" t="s">
        <v>22</v>
      </c>
      <c r="G8" s="64">
        <v>30</v>
      </c>
      <c r="H8" s="61" t="s">
        <v>281</v>
      </c>
      <c r="I8" s="63">
        <v>46086</v>
      </c>
      <c r="J8" s="60">
        <v>64246</v>
      </c>
      <c r="K8" s="60" t="s">
        <v>20</v>
      </c>
      <c r="L8" s="60"/>
      <c r="M8" s="68"/>
    </row>
    <row r="9" spans="1:13" ht="13.5" x14ac:dyDescent="0.15">
      <c r="A9" s="62"/>
      <c r="B9" s="62"/>
      <c r="C9" s="61"/>
      <c r="D9" s="61"/>
      <c r="E9" s="61"/>
      <c r="F9" s="63"/>
      <c r="G9" s="64"/>
      <c r="H9" s="61"/>
      <c r="I9" s="63"/>
      <c r="J9" s="60"/>
      <c r="K9" s="60"/>
      <c r="L9" s="60"/>
      <c r="M9" s="68"/>
    </row>
    <row r="10" spans="1:13" ht="13.5" x14ac:dyDescent="0.15">
      <c r="A10" s="55" t="s">
        <v>85</v>
      </c>
      <c r="B10" s="55">
        <v>46104</v>
      </c>
      <c r="C10" s="56">
        <v>202602039</v>
      </c>
      <c r="D10" s="56" t="s">
        <v>225</v>
      </c>
      <c r="E10" s="56" t="s">
        <v>226</v>
      </c>
      <c r="F10" s="57" t="s">
        <v>22</v>
      </c>
      <c r="G10" s="58">
        <v>30</v>
      </c>
      <c r="H10" s="56" t="s">
        <v>227</v>
      </c>
      <c r="I10" s="57">
        <v>46075</v>
      </c>
      <c r="J10" s="59">
        <v>479404.51</v>
      </c>
      <c r="K10" s="59" t="s">
        <v>20</v>
      </c>
      <c r="L10" s="60"/>
      <c r="M10" s="68"/>
    </row>
    <row r="11" spans="1:13" ht="13.5" x14ac:dyDescent="0.15">
      <c r="A11" s="62"/>
      <c r="B11" s="62"/>
      <c r="C11" s="61"/>
      <c r="D11" s="61"/>
      <c r="E11" s="61"/>
      <c r="F11" s="63"/>
      <c r="G11" s="64"/>
      <c r="H11" s="61"/>
      <c r="I11" s="63"/>
      <c r="J11" s="60"/>
      <c r="K11" s="60"/>
      <c r="L11" s="60"/>
      <c r="M11" s="68"/>
    </row>
    <row r="12" spans="1:13" ht="13.5" x14ac:dyDescent="0.15">
      <c r="A12" s="62" t="s">
        <v>268</v>
      </c>
      <c r="B12" s="62">
        <v>46115</v>
      </c>
      <c r="C12" s="61">
        <v>202603012</v>
      </c>
      <c r="D12" s="61" t="s">
        <v>277</v>
      </c>
      <c r="E12" s="61" t="s">
        <v>278</v>
      </c>
      <c r="F12" s="63" t="s">
        <v>22</v>
      </c>
      <c r="G12" s="64">
        <v>30</v>
      </c>
      <c r="H12" s="61" t="s">
        <v>279</v>
      </c>
      <c r="I12" s="63">
        <v>46087</v>
      </c>
      <c r="J12" s="60">
        <v>166499.46</v>
      </c>
      <c r="K12" s="60" t="s">
        <v>20</v>
      </c>
      <c r="L12" s="60"/>
      <c r="M12" s="68"/>
    </row>
    <row r="13" spans="1:13" ht="13.5" x14ac:dyDescent="0.15">
      <c r="A13" s="62"/>
      <c r="B13" s="62"/>
      <c r="C13" s="61"/>
      <c r="D13" s="61"/>
      <c r="E13" s="61"/>
      <c r="F13" s="63"/>
      <c r="G13" s="64"/>
      <c r="H13" s="61"/>
      <c r="I13" s="63"/>
      <c r="J13" s="60"/>
      <c r="K13" s="60"/>
      <c r="L13" s="60"/>
      <c r="M13" s="68"/>
    </row>
    <row r="14" spans="1:13" ht="13.5" x14ac:dyDescent="0.15">
      <c r="A14" s="55" t="s">
        <v>44</v>
      </c>
      <c r="B14" s="55">
        <v>46073</v>
      </c>
      <c r="C14" s="56">
        <v>202601056</v>
      </c>
      <c r="D14" s="56" t="s">
        <v>35</v>
      </c>
      <c r="E14" s="56" t="s">
        <v>156</v>
      </c>
      <c r="F14" s="57" t="s">
        <v>22</v>
      </c>
      <c r="G14" s="58">
        <v>30</v>
      </c>
      <c r="H14" s="56" t="s">
        <v>157</v>
      </c>
      <c r="I14" s="57">
        <v>46046</v>
      </c>
      <c r="J14" s="59">
        <v>40490</v>
      </c>
      <c r="K14" s="59" t="s">
        <v>20</v>
      </c>
      <c r="L14" s="60"/>
      <c r="M14" s="68"/>
    </row>
    <row r="15" spans="1:13" ht="13.5" x14ac:dyDescent="0.15">
      <c r="A15" s="62"/>
      <c r="B15" s="62"/>
      <c r="C15" s="61"/>
      <c r="D15" s="61"/>
      <c r="E15" s="61"/>
      <c r="F15" s="63"/>
      <c r="G15" s="64"/>
      <c r="H15" s="61"/>
      <c r="I15" s="63"/>
      <c r="J15" s="60"/>
      <c r="K15" s="60"/>
      <c r="L15" s="60"/>
      <c r="M15" s="68"/>
    </row>
    <row r="16" spans="1:13" ht="13.5" x14ac:dyDescent="0.15">
      <c r="A16" s="62" t="s">
        <v>85</v>
      </c>
      <c r="B16" s="62">
        <v>46115</v>
      </c>
      <c r="C16" s="61">
        <v>202603032</v>
      </c>
      <c r="D16" s="61" t="s">
        <v>298</v>
      </c>
      <c r="E16" s="61" t="s">
        <v>297</v>
      </c>
      <c r="F16" s="63" t="s">
        <v>131</v>
      </c>
      <c r="G16" s="64">
        <v>15</v>
      </c>
      <c r="H16" s="61" t="s">
        <v>299</v>
      </c>
      <c r="I16" s="63">
        <v>46100</v>
      </c>
      <c r="J16" s="60">
        <v>252807.03</v>
      </c>
      <c r="K16" s="60" t="s">
        <v>20</v>
      </c>
      <c r="L16" s="60"/>
      <c r="M16" s="68"/>
    </row>
    <row r="17" spans="1:13" ht="13.5" x14ac:dyDescent="0.15">
      <c r="A17" s="62" t="s">
        <v>85</v>
      </c>
      <c r="B17" s="62">
        <v>46115</v>
      </c>
      <c r="C17" s="61">
        <v>202603033</v>
      </c>
      <c r="D17" s="61" t="s">
        <v>298</v>
      </c>
      <c r="E17" s="61" t="s">
        <v>303</v>
      </c>
      <c r="F17" s="63" t="s">
        <v>131</v>
      </c>
      <c r="G17" s="64">
        <v>15</v>
      </c>
      <c r="H17" s="61" t="s">
        <v>299</v>
      </c>
      <c r="I17" s="63">
        <v>46101</v>
      </c>
      <c r="J17" s="60">
        <v>626331.77</v>
      </c>
      <c r="K17" s="60" t="s">
        <v>20</v>
      </c>
      <c r="L17" s="60"/>
      <c r="M17" s="68"/>
    </row>
    <row r="18" spans="1:13" ht="13.5" x14ac:dyDescent="0.15">
      <c r="A18" s="62"/>
      <c r="B18" s="62"/>
      <c r="C18" s="61"/>
      <c r="D18" s="61"/>
      <c r="E18" s="61"/>
      <c r="F18" s="63"/>
      <c r="G18" s="64"/>
      <c r="H18" s="61"/>
      <c r="I18" s="63"/>
      <c r="J18" s="60"/>
      <c r="K18" s="60"/>
      <c r="L18" s="60"/>
      <c r="M18" s="68"/>
    </row>
    <row r="19" spans="1:13" ht="13.5" x14ac:dyDescent="0.15">
      <c r="A19" s="55" t="s">
        <v>58</v>
      </c>
      <c r="B19" s="55">
        <v>46108</v>
      </c>
      <c r="C19" s="56">
        <v>202602058</v>
      </c>
      <c r="D19" s="56" t="s">
        <v>259</v>
      </c>
      <c r="E19" s="56" t="s">
        <v>260</v>
      </c>
      <c r="F19" s="57" t="s">
        <v>22</v>
      </c>
      <c r="G19" s="58">
        <v>30</v>
      </c>
      <c r="H19" s="56" t="s">
        <v>101</v>
      </c>
      <c r="I19" s="57">
        <v>46081</v>
      </c>
      <c r="J19" s="59">
        <v>77725.42</v>
      </c>
      <c r="K19" s="59" t="s">
        <v>20</v>
      </c>
      <c r="L19" s="60"/>
      <c r="M19" s="68"/>
    </row>
    <row r="20" spans="1:13" ht="13.5" x14ac:dyDescent="0.15">
      <c r="A20" s="62"/>
      <c r="B20" s="62"/>
      <c r="C20" s="61"/>
      <c r="D20" s="61"/>
      <c r="E20" s="61"/>
      <c r="F20" s="63"/>
      <c r="G20" s="64"/>
      <c r="H20" s="61"/>
      <c r="I20" s="63"/>
      <c r="J20" s="60"/>
      <c r="K20" s="60"/>
      <c r="L20" s="60"/>
      <c r="M20" s="68"/>
    </row>
    <row r="21" spans="1:13" ht="13.5" x14ac:dyDescent="0.15">
      <c r="A21" s="55" t="s">
        <v>250</v>
      </c>
      <c r="B21" s="55">
        <v>46108</v>
      </c>
      <c r="C21" s="56">
        <v>202602053</v>
      </c>
      <c r="D21" s="56" t="s">
        <v>251</v>
      </c>
      <c r="E21" s="56" t="s">
        <v>252</v>
      </c>
      <c r="F21" s="57" t="s">
        <v>22</v>
      </c>
      <c r="G21" s="58">
        <v>30</v>
      </c>
      <c r="H21" s="56" t="s">
        <v>52</v>
      </c>
      <c r="I21" s="57">
        <v>46080</v>
      </c>
      <c r="J21" s="59">
        <v>28400</v>
      </c>
      <c r="K21" s="59" t="s">
        <v>20</v>
      </c>
      <c r="L21" s="60"/>
      <c r="M21" s="68"/>
    </row>
    <row r="22" spans="1:13" ht="13.5" x14ac:dyDescent="0.15">
      <c r="A22" s="62"/>
      <c r="B22" s="62"/>
      <c r="C22" s="61"/>
      <c r="D22" s="61"/>
      <c r="E22" s="61"/>
      <c r="F22" s="63"/>
      <c r="G22" s="64"/>
      <c r="H22" s="61"/>
      <c r="I22" s="63"/>
      <c r="J22" s="60"/>
      <c r="K22" s="60"/>
      <c r="L22" s="60"/>
      <c r="M22" s="68"/>
    </row>
    <row r="23" spans="1:13" ht="13.5" x14ac:dyDescent="0.15">
      <c r="A23" s="62" t="s">
        <v>58</v>
      </c>
      <c r="B23" s="62">
        <v>46115</v>
      </c>
      <c r="C23" s="61">
        <v>202603004</v>
      </c>
      <c r="D23" s="61" t="s">
        <v>77</v>
      </c>
      <c r="E23" s="61" t="s">
        <v>258</v>
      </c>
      <c r="F23" s="63" t="s">
        <v>22</v>
      </c>
      <c r="G23" s="64">
        <v>30</v>
      </c>
      <c r="H23" s="61" t="s">
        <v>97</v>
      </c>
      <c r="I23" s="63">
        <v>46086</v>
      </c>
      <c r="J23" s="60">
        <v>357410.9</v>
      </c>
      <c r="K23" s="60" t="s">
        <v>20</v>
      </c>
      <c r="L23" s="60"/>
      <c r="M23" s="68"/>
    </row>
    <row r="24" spans="1:13" ht="13.5" x14ac:dyDescent="0.15">
      <c r="A24" s="62" t="s">
        <v>58</v>
      </c>
      <c r="B24" s="62">
        <v>46115</v>
      </c>
      <c r="C24" s="61">
        <v>202603008</v>
      </c>
      <c r="D24" s="61" t="s">
        <v>77</v>
      </c>
      <c r="E24" s="61" t="s">
        <v>266</v>
      </c>
      <c r="F24" s="63" t="s">
        <v>22</v>
      </c>
      <c r="G24" s="64">
        <v>30</v>
      </c>
      <c r="H24" s="61" t="s">
        <v>193</v>
      </c>
      <c r="I24" s="63">
        <v>46088</v>
      </c>
      <c r="J24" s="60">
        <v>302392.32000000001</v>
      </c>
      <c r="K24" s="60" t="s">
        <v>20</v>
      </c>
      <c r="L24" s="60"/>
      <c r="M24" s="68"/>
    </row>
    <row r="25" spans="1:13" ht="13.5" x14ac:dyDescent="0.15">
      <c r="A25" s="62"/>
      <c r="B25" s="62"/>
      <c r="C25" s="61"/>
      <c r="D25" s="61"/>
      <c r="E25" s="61"/>
      <c r="F25" s="63"/>
      <c r="G25" s="64"/>
      <c r="H25" s="61"/>
      <c r="I25" s="63"/>
      <c r="J25" s="60"/>
      <c r="K25" s="60"/>
      <c r="L25" s="60"/>
      <c r="M25" s="68"/>
    </row>
    <row r="26" spans="1:13" ht="13.5" x14ac:dyDescent="0.15">
      <c r="A26" s="55" t="s">
        <v>55</v>
      </c>
      <c r="B26" s="55">
        <v>46087</v>
      </c>
      <c r="C26" s="56">
        <v>202601041</v>
      </c>
      <c r="D26" s="56" t="s">
        <v>36</v>
      </c>
      <c r="E26" s="56" t="s">
        <v>140</v>
      </c>
      <c r="F26" s="57" t="s">
        <v>22</v>
      </c>
      <c r="G26" s="58">
        <v>45</v>
      </c>
      <c r="H26" s="56" t="s">
        <v>141</v>
      </c>
      <c r="I26" s="57">
        <v>46043</v>
      </c>
      <c r="J26" s="59">
        <v>32931.71</v>
      </c>
      <c r="K26" s="59" t="s">
        <v>34</v>
      </c>
      <c r="L26" s="60"/>
      <c r="M26" s="68"/>
    </row>
    <row r="27" spans="1:13" ht="13.5" x14ac:dyDescent="0.15">
      <c r="A27" s="55" t="s">
        <v>55</v>
      </c>
      <c r="B27" s="55">
        <v>46087</v>
      </c>
      <c r="C27" s="56">
        <v>202601058</v>
      </c>
      <c r="D27" s="56" t="s">
        <v>36</v>
      </c>
      <c r="E27" s="56" t="s">
        <v>180</v>
      </c>
      <c r="F27" s="57" t="s">
        <v>22</v>
      </c>
      <c r="G27" s="58">
        <v>45</v>
      </c>
      <c r="H27" s="56" t="s">
        <v>104</v>
      </c>
      <c r="I27" s="57">
        <v>46044</v>
      </c>
      <c r="J27" s="59">
        <v>50031.7</v>
      </c>
      <c r="K27" s="59" t="s">
        <v>34</v>
      </c>
      <c r="L27" s="60"/>
      <c r="M27" s="68"/>
    </row>
    <row r="28" spans="1:13" ht="13.5" x14ac:dyDescent="0.15">
      <c r="A28" s="55" t="s">
        <v>55</v>
      </c>
      <c r="B28" s="55">
        <v>46094</v>
      </c>
      <c r="C28" s="56">
        <v>202601061</v>
      </c>
      <c r="D28" s="56" t="s">
        <v>36</v>
      </c>
      <c r="E28" s="56" t="s">
        <v>140</v>
      </c>
      <c r="F28" s="57" t="s">
        <v>22</v>
      </c>
      <c r="G28" s="58">
        <v>45</v>
      </c>
      <c r="H28" s="56" t="s">
        <v>172</v>
      </c>
      <c r="I28" s="57">
        <v>46052</v>
      </c>
      <c r="J28" s="59">
        <v>35724.36</v>
      </c>
      <c r="K28" s="59" t="s">
        <v>34</v>
      </c>
      <c r="L28" s="60"/>
      <c r="M28" s="68"/>
    </row>
    <row r="29" spans="1:13" ht="13.5" x14ac:dyDescent="0.15">
      <c r="A29" s="55" t="s">
        <v>55</v>
      </c>
      <c r="B29" s="55">
        <v>46101</v>
      </c>
      <c r="C29" s="56">
        <v>202602027</v>
      </c>
      <c r="D29" s="56" t="s">
        <v>36</v>
      </c>
      <c r="E29" s="56" t="s">
        <v>47</v>
      </c>
      <c r="F29" s="57" t="s">
        <v>22</v>
      </c>
      <c r="G29" s="58">
        <v>45</v>
      </c>
      <c r="H29" s="56" t="s">
        <v>218</v>
      </c>
      <c r="I29" s="57">
        <v>46059</v>
      </c>
      <c r="J29" s="59">
        <v>16702.669999999998</v>
      </c>
      <c r="K29" s="59" t="s">
        <v>20</v>
      </c>
      <c r="L29" s="60"/>
      <c r="M29" s="68"/>
    </row>
    <row r="30" spans="1:13" ht="13.5" x14ac:dyDescent="0.15">
      <c r="A30" s="62" t="s">
        <v>55</v>
      </c>
      <c r="B30" s="62">
        <v>46115</v>
      </c>
      <c r="C30" s="61">
        <v>202602040</v>
      </c>
      <c r="D30" s="61" t="s">
        <v>36</v>
      </c>
      <c r="E30" s="61" t="s">
        <v>180</v>
      </c>
      <c r="F30" s="63" t="s">
        <v>22</v>
      </c>
      <c r="G30" s="64">
        <v>45</v>
      </c>
      <c r="H30" s="61" t="s">
        <v>228</v>
      </c>
      <c r="I30" s="63">
        <v>46072</v>
      </c>
      <c r="J30" s="60">
        <v>40835.360000000001</v>
      </c>
      <c r="K30" s="60" t="s">
        <v>34</v>
      </c>
      <c r="L30" s="60"/>
      <c r="M30" s="68"/>
    </row>
    <row r="31" spans="1:13" ht="13.5" x14ac:dyDescent="0.15">
      <c r="A31" s="62" t="s">
        <v>55</v>
      </c>
      <c r="B31" s="62">
        <v>46115</v>
      </c>
      <c r="C31" s="61">
        <v>202602046</v>
      </c>
      <c r="D31" s="61" t="s">
        <v>36</v>
      </c>
      <c r="E31" s="61" t="s">
        <v>47</v>
      </c>
      <c r="F31" s="63" t="s">
        <v>22</v>
      </c>
      <c r="G31" s="64">
        <v>45</v>
      </c>
      <c r="H31" s="61" t="s">
        <v>141</v>
      </c>
      <c r="I31" s="63">
        <v>46071</v>
      </c>
      <c r="J31" s="60">
        <v>67285.75</v>
      </c>
      <c r="K31" s="60" t="s">
        <v>34</v>
      </c>
      <c r="L31" s="60"/>
      <c r="M31" s="68"/>
    </row>
    <row r="32" spans="1:13" ht="13.5" x14ac:dyDescent="0.15">
      <c r="A32" s="62"/>
      <c r="B32" s="62"/>
      <c r="C32" s="61"/>
      <c r="D32" s="61"/>
      <c r="E32" s="61"/>
      <c r="F32" s="63"/>
      <c r="G32" s="64"/>
      <c r="H32" s="61"/>
      <c r="I32" s="63"/>
      <c r="J32" s="60"/>
      <c r="K32" s="60"/>
      <c r="L32" s="60"/>
      <c r="M32" s="68"/>
    </row>
    <row r="33" spans="1:13" ht="13.5" x14ac:dyDescent="0.15">
      <c r="A33" s="55" t="s">
        <v>58</v>
      </c>
      <c r="B33" s="55">
        <v>46094</v>
      </c>
      <c r="C33" s="56">
        <v>202601065</v>
      </c>
      <c r="D33" s="56" t="s">
        <v>69</v>
      </c>
      <c r="E33" s="56" t="s">
        <v>74</v>
      </c>
      <c r="F33" s="57" t="s">
        <v>22</v>
      </c>
      <c r="G33" s="58">
        <v>45</v>
      </c>
      <c r="H33" s="56" t="s">
        <v>52</v>
      </c>
      <c r="I33" s="57">
        <v>46051</v>
      </c>
      <c r="J33" s="59">
        <v>44622</v>
      </c>
      <c r="K33" s="59" t="s">
        <v>20</v>
      </c>
      <c r="L33" s="60"/>
      <c r="M33" s="68"/>
    </row>
    <row r="34" spans="1:13" ht="13.5" x14ac:dyDescent="0.15">
      <c r="A34" s="62"/>
      <c r="B34" s="62"/>
      <c r="C34" s="61"/>
      <c r="D34" s="61"/>
      <c r="E34" s="61"/>
      <c r="F34" s="63"/>
      <c r="G34" s="64"/>
      <c r="H34" s="61"/>
      <c r="I34" s="63"/>
      <c r="J34" s="60"/>
      <c r="K34" s="60"/>
      <c r="L34" s="60"/>
      <c r="M34" s="68"/>
    </row>
    <row r="35" spans="1:13" ht="13.5" x14ac:dyDescent="0.15">
      <c r="A35" s="62" t="s">
        <v>58</v>
      </c>
      <c r="B35" s="62">
        <v>46115</v>
      </c>
      <c r="C35" s="61">
        <v>202602036</v>
      </c>
      <c r="D35" s="61" t="s">
        <v>231</v>
      </c>
      <c r="E35" s="61" t="s">
        <v>232</v>
      </c>
      <c r="F35" s="63" t="s">
        <v>22</v>
      </c>
      <c r="G35" s="64">
        <v>45</v>
      </c>
      <c r="H35" s="61" t="s">
        <v>233</v>
      </c>
      <c r="I35" s="63">
        <v>46072</v>
      </c>
      <c r="J35" s="60">
        <v>44997.62</v>
      </c>
      <c r="K35" s="60" t="s">
        <v>20</v>
      </c>
      <c r="L35" s="60"/>
      <c r="M35" s="68"/>
    </row>
    <row r="36" spans="1:13" ht="13.5" x14ac:dyDescent="0.15">
      <c r="A36" s="62"/>
      <c r="B36" s="62"/>
      <c r="C36" s="61"/>
      <c r="D36" s="61"/>
      <c r="E36" s="61"/>
      <c r="F36" s="63"/>
      <c r="G36" s="64"/>
      <c r="H36" s="61"/>
      <c r="I36" s="63"/>
      <c r="J36" s="60"/>
      <c r="K36" s="60"/>
      <c r="L36" s="60"/>
      <c r="M36" s="68"/>
    </row>
    <row r="37" spans="1:13" ht="13.5" x14ac:dyDescent="0.15">
      <c r="A37" s="55" t="s">
        <v>58</v>
      </c>
      <c r="B37" s="55">
        <v>45993</v>
      </c>
      <c r="C37" s="56">
        <v>202511025</v>
      </c>
      <c r="D37" s="56" t="s">
        <v>75</v>
      </c>
      <c r="E37" s="56" t="s">
        <v>71</v>
      </c>
      <c r="F37" s="57" t="s">
        <v>65</v>
      </c>
      <c r="G37" s="58">
        <v>21</v>
      </c>
      <c r="H37" s="56" t="s">
        <v>53</v>
      </c>
      <c r="I37" s="57">
        <v>45973</v>
      </c>
      <c r="J37" s="59">
        <v>27763.85</v>
      </c>
      <c r="K37" s="59" t="s">
        <v>20</v>
      </c>
      <c r="L37" s="60"/>
      <c r="M37" s="68"/>
    </row>
    <row r="38" spans="1:13" ht="13.5" x14ac:dyDescent="0.15">
      <c r="A38" s="62"/>
      <c r="B38" s="62"/>
      <c r="C38" s="61"/>
      <c r="D38" s="61"/>
      <c r="E38" s="61"/>
      <c r="F38" s="63"/>
      <c r="G38" s="64"/>
      <c r="H38" s="61"/>
      <c r="I38" s="63"/>
      <c r="J38" s="60"/>
      <c r="K38" s="60"/>
      <c r="L38" s="60"/>
      <c r="M38" s="68"/>
    </row>
    <row r="39" spans="1:13" ht="13.5" x14ac:dyDescent="0.15">
      <c r="A39" s="55" t="s">
        <v>44</v>
      </c>
      <c r="B39" s="55">
        <v>46064</v>
      </c>
      <c r="C39" s="56">
        <v>202601030</v>
      </c>
      <c r="D39" s="56" t="s">
        <v>123</v>
      </c>
      <c r="E39" s="56" t="s">
        <v>124</v>
      </c>
      <c r="F39" s="57" t="s">
        <v>19</v>
      </c>
      <c r="G39" s="58">
        <v>30</v>
      </c>
      <c r="H39" s="56" t="s">
        <v>48</v>
      </c>
      <c r="I39" s="57">
        <v>46035</v>
      </c>
      <c r="J39" s="59">
        <v>127014.69</v>
      </c>
      <c r="K39" s="59" t="s">
        <v>20</v>
      </c>
      <c r="L39" s="60"/>
      <c r="M39" s="68"/>
    </row>
    <row r="40" spans="1:13" ht="13.5" x14ac:dyDescent="0.15">
      <c r="A40" s="62"/>
      <c r="B40" s="62"/>
      <c r="C40" s="61"/>
      <c r="D40" s="61"/>
      <c r="E40" s="61"/>
      <c r="F40" s="63"/>
      <c r="G40" s="64"/>
      <c r="H40" s="61"/>
      <c r="I40" s="63"/>
      <c r="J40" s="60"/>
      <c r="K40" s="60"/>
      <c r="L40" s="60"/>
      <c r="M40" s="68"/>
    </row>
    <row r="41" spans="1:13" ht="13.5" x14ac:dyDescent="0.15">
      <c r="A41" s="55" t="s">
        <v>58</v>
      </c>
      <c r="B41" s="55">
        <v>46059</v>
      </c>
      <c r="C41" s="56">
        <v>202511014</v>
      </c>
      <c r="D41" s="56" t="s">
        <v>61</v>
      </c>
      <c r="E41" s="56" t="s">
        <v>107</v>
      </c>
      <c r="F41" s="57" t="s">
        <v>22</v>
      </c>
      <c r="G41" s="58">
        <v>90</v>
      </c>
      <c r="H41" s="56" t="s">
        <v>43</v>
      </c>
      <c r="I41" s="57">
        <v>45970</v>
      </c>
      <c r="J41" s="59">
        <v>238593.12</v>
      </c>
      <c r="K41" s="59" t="s">
        <v>20</v>
      </c>
      <c r="L41" s="60"/>
      <c r="M41" s="68" t="s">
        <v>221</v>
      </c>
    </row>
    <row r="42" spans="1:13" ht="13.5" x14ac:dyDescent="0.15">
      <c r="A42" s="55" t="s">
        <v>58</v>
      </c>
      <c r="B42" s="55">
        <v>46087</v>
      </c>
      <c r="C42" s="56">
        <v>202512004</v>
      </c>
      <c r="D42" s="56" t="s">
        <v>61</v>
      </c>
      <c r="E42" s="56" t="s">
        <v>108</v>
      </c>
      <c r="F42" s="57" t="s">
        <v>22</v>
      </c>
      <c r="G42" s="58">
        <v>90</v>
      </c>
      <c r="H42" s="56" t="s">
        <v>109</v>
      </c>
      <c r="I42" s="57">
        <v>45999</v>
      </c>
      <c r="J42" s="59">
        <v>174647.25</v>
      </c>
      <c r="K42" s="59" t="s">
        <v>20</v>
      </c>
      <c r="L42" s="60"/>
      <c r="M42" s="68"/>
    </row>
    <row r="43" spans="1:13" ht="13.5" x14ac:dyDescent="0.15">
      <c r="A43" s="62"/>
      <c r="B43" s="62"/>
      <c r="C43" s="61"/>
      <c r="D43" s="61"/>
      <c r="E43" s="61"/>
      <c r="F43" s="63"/>
      <c r="G43" s="64"/>
      <c r="H43" s="61"/>
      <c r="I43" s="63"/>
      <c r="J43" s="60"/>
      <c r="K43" s="60"/>
      <c r="L43" s="60"/>
      <c r="M43" s="68"/>
    </row>
    <row r="44" spans="1:13" ht="13.5" x14ac:dyDescent="0.15">
      <c r="A44" s="55" t="s">
        <v>55</v>
      </c>
      <c r="B44" s="55">
        <v>46107</v>
      </c>
      <c r="C44" s="56">
        <v>202602031</v>
      </c>
      <c r="D44" s="56" t="s">
        <v>211</v>
      </c>
      <c r="E44" s="56" t="s">
        <v>223</v>
      </c>
      <c r="F44" s="57" t="s">
        <v>22</v>
      </c>
      <c r="G44" s="58">
        <v>45</v>
      </c>
      <c r="H44" s="56" t="s">
        <v>224</v>
      </c>
      <c r="I44" s="57">
        <v>46062</v>
      </c>
      <c r="J44" s="59">
        <v>216000</v>
      </c>
      <c r="K44" s="59" t="s">
        <v>20</v>
      </c>
      <c r="L44" s="60"/>
      <c r="M44" s="68"/>
    </row>
    <row r="45" spans="1:13" ht="13.5" x14ac:dyDescent="0.15">
      <c r="A45" s="62"/>
      <c r="B45" s="62"/>
      <c r="C45" s="61"/>
      <c r="D45" s="61"/>
      <c r="E45" s="61"/>
      <c r="F45" s="63"/>
      <c r="G45" s="64"/>
      <c r="H45" s="61"/>
      <c r="I45" s="63"/>
      <c r="J45" s="60"/>
      <c r="K45" s="60"/>
      <c r="L45" s="60"/>
      <c r="M45" s="68"/>
    </row>
    <row r="46" spans="1:13" ht="13.5" x14ac:dyDescent="0.15">
      <c r="A46" s="55" t="s">
        <v>44</v>
      </c>
      <c r="B46" s="55">
        <v>46108</v>
      </c>
      <c r="C46" s="56">
        <v>202601054</v>
      </c>
      <c r="D46" s="56" t="s">
        <v>98</v>
      </c>
      <c r="E46" s="56" t="s">
        <v>160</v>
      </c>
      <c r="F46" s="57" t="s">
        <v>22</v>
      </c>
      <c r="G46" s="58">
        <v>60</v>
      </c>
      <c r="H46" s="56" t="s">
        <v>161</v>
      </c>
      <c r="I46" s="57">
        <v>46050</v>
      </c>
      <c r="J46" s="59">
        <v>62000</v>
      </c>
      <c r="K46" s="59" t="s">
        <v>20</v>
      </c>
      <c r="L46" s="60"/>
      <c r="M46" s="68"/>
    </row>
    <row r="47" spans="1:13" ht="13.5" x14ac:dyDescent="0.15">
      <c r="A47" s="62"/>
      <c r="B47" s="62"/>
      <c r="C47" s="61"/>
      <c r="D47" s="61"/>
      <c r="E47" s="61"/>
      <c r="F47" s="63"/>
      <c r="G47" s="64"/>
      <c r="H47" s="61"/>
      <c r="I47" s="63"/>
      <c r="J47" s="60"/>
      <c r="K47" s="60"/>
      <c r="L47" s="60"/>
      <c r="M47" s="68"/>
    </row>
    <row r="48" spans="1:13" ht="13.5" x14ac:dyDescent="0.15">
      <c r="A48" s="55" t="s">
        <v>44</v>
      </c>
      <c r="B48" s="55">
        <v>45972</v>
      </c>
      <c r="C48" s="56">
        <v>202510049</v>
      </c>
      <c r="D48" s="56" t="s">
        <v>67</v>
      </c>
      <c r="E48" s="56" t="s">
        <v>68</v>
      </c>
      <c r="F48" s="57" t="s">
        <v>65</v>
      </c>
      <c r="G48" s="58">
        <v>15</v>
      </c>
      <c r="H48" s="56" t="s">
        <v>40</v>
      </c>
      <c r="I48" s="57">
        <v>45957</v>
      </c>
      <c r="J48" s="59">
        <v>41460</v>
      </c>
      <c r="K48" s="59" t="s">
        <v>20</v>
      </c>
      <c r="L48" s="60"/>
      <c r="M48" s="68"/>
    </row>
    <row r="49" spans="1:13" ht="13.5" x14ac:dyDescent="0.15">
      <c r="A49" s="55" t="s">
        <v>44</v>
      </c>
      <c r="B49" s="55">
        <v>46003</v>
      </c>
      <c r="C49" s="56">
        <v>202512015</v>
      </c>
      <c r="D49" s="56" t="s">
        <v>67</v>
      </c>
      <c r="E49" s="56" t="s">
        <v>68</v>
      </c>
      <c r="F49" s="57" t="s">
        <v>65</v>
      </c>
      <c r="G49" s="65" t="s">
        <v>78</v>
      </c>
      <c r="H49" s="56" t="s">
        <v>40</v>
      </c>
      <c r="I49" s="57">
        <v>45957</v>
      </c>
      <c r="J49" s="59">
        <v>829.2</v>
      </c>
      <c r="K49" s="59" t="s">
        <v>20</v>
      </c>
      <c r="L49" s="60"/>
      <c r="M49" s="68"/>
    </row>
    <row r="50" spans="1:13" ht="13.5" x14ac:dyDescent="0.15">
      <c r="A50" s="62"/>
      <c r="B50" s="62"/>
      <c r="C50" s="61"/>
      <c r="D50" s="61"/>
      <c r="E50" s="61"/>
      <c r="F50" s="63"/>
      <c r="G50" s="66"/>
      <c r="H50" s="61"/>
      <c r="I50" s="63"/>
      <c r="J50" s="60"/>
      <c r="K50" s="60"/>
      <c r="L50" s="60"/>
      <c r="M50" s="68"/>
    </row>
    <row r="51" spans="1:13" ht="13.5" x14ac:dyDescent="0.15">
      <c r="A51" s="55" t="s">
        <v>100</v>
      </c>
      <c r="B51" s="55">
        <v>46092</v>
      </c>
      <c r="C51" s="56">
        <v>202602042</v>
      </c>
      <c r="D51" s="56" t="s">
        <v>129</v>
      </c>
      <c r="E51" s="56" t="s">
        <v>238</v>
      </c>
      <c r="F51" s="57" t="s">
        <v>131</v>
      </c>
      <c r="G51" s="58">
        <v>30</v>
      </c>
      <c r="H51" s="56" t="s">
        <v>239</v>
      </c>
      <c r="I51" s="57">
        <v>46063</v>
      </c>
      <c r="J51" s="59">
        <v>27629.34</v>
      </c>
      <c r="K51" s="59" t="s">
        <v>20</v>
      </c>
      <c r="L51" s="60">
        <v>14000</v>
      </c>
      <c r="M51" s="68" t="s">
        <v>314</v>
      </c>
    </row>
    <row r="52" spans="1:13" ht="13.5" x14ac:dyDescent="0.15">
      <c r="A52" s="55" t="s">
        <v>100</v>
      </c>
      <c r="B52" s="55">
        <v>46094</v>
      </c>
      <c r="C52" s="56">
        <v>202601035</v>
      </c>
      <c r="D52" s="56" t="s">
        <v>129</v>
      </c>
      <c r="E52" s="56" t="s">
        <v>130</v>
      </c>
      <c r="F52" s="57" t="s">
        <v>131</v>
      </c>
      <c r="G52" s="58">
        <v>60</v>
      </c>
      <c r="H52" s="56" t="s">
        <v>132</v>
      </c>
      <c r="I52" s="57">
        <v>46035</v>
      </c>
      <c r="J52" s="59">
        <v>27060</v>
      </c>
      <c r="K52" s="59" t="s">
        <v>20</v>
      </c>
      <c r="L52" s="60"/>
      <c r="M52" s="68" t="s">
        <v>300</v>
      </c>
    </row>
    <row r="53" spans="1:13" ht="13.5" x14ac:dyDescent="0.15">
      <c r="A53" s="62"/>
      <c r="B53" s="62"/>
      <c r="C53" s="61"/>
      <c r="D53" s="61"/>
      <c r="E53" s="61"/>
      <c r="F53" s="63"/>
      <c r="G53" s="64"/>
      <c r="H53" s="61"/>
      <c r="I53" s="63"/>
      <c r="J53" s="60"/>
      <c r="K53" s="60"/>
      <c r="L53" s="60"/>
      <c r="M53" s="68"/>
    </row>
    <row r="54" spans="1:13" ht="13.5" x14ac:dyDescent="0.15">
      <c r="A54" s="62" t="s">
        <v>58</v>
      </c>
      <c r="B54" s="62">
        <v>46115</v>
      </c>
      <c r="C54" s="61">
        <v>202603011</v>
      </c>
      <c r="D54" s="61" t="s">
        <v>70</v>
      </c>
      <c r="E54" s="61" t="s">
        <v>273</v>
      </c>
      <c r="F54" s="63" t="s">
        <v>22</v>
      </c>
      <c r="G54" s="64">
        <v>30</v>
      </c>
      <c r="H54" s="61" t="s">
        <v>101</v>
      </c>
      <c r="I54" s="63">
        <v>46087</v>
      </c>
      <c r="J54" s="60">
        <v>192162.39</v>
      </c>
      <c r="K54" s="60" t="s">
        <v>20</v>
      </c>
      <c r="L54" s="60"/>
      <c r="M54" s="68"/>
    </row>
    <row r="55" spans="1:13" ht="13.5" x14ac:dyDescent="0.15">
      <c r="A55" s="62"/>
      <c r="B55" s="62"/>
      <c r="C55" s="61"/>
      <c r="D55" s="61"/>
      <c r="E55" s="61"/>
      <c r="F55" s="63"/>
      <c r="G55" s="64"/>
      <c r="H55" s="61"/>
      <c r="I55" s="63"/>
      <c r="J55" s="60"/>
      <c r="K55" s="60"/>
      <c r="L55" s="60"/>
      <c r="M55" s="68"/>
    </row>
    <row r="56" spans="1:13" ht="13.5" x14ac:dyDescent="0.15">
      <c r="A56" s="55" t="s">
        <v>58</v>
      </c>
      <c r="B56" s="55">
        <v>46063</v>
      </c>
      <c r="C56" s="56">
        <v>202602016</v>
      </c>
      <c r="D56" s="56" t="s">
        <v>62</v>
      </c>
      <c r="E56" s="56" t="s">
        <v>202</v>
      </c>
      <c r="F56" s="57" t="s">
        <v>22</v>
      </c>
      <c r="G56" s="65" t="s">
        <v>78</v>
      </c>
      <c r="H56" s="56" t="s">
        <v>66</v>
      </c>
      <c r="I56" s="57">
        <v>45965</v>
      </c>
      <c r="J56" s="59">
        <v>4871.32</v>
      </c>
      <c r="K56" s="59" t="s">
        <v>20</v>
      </c>
      <c r="L56" s="60"/>
      <c r="M56" s="68" t="s">
        <v>207</v>
      </c>
    </row>
    <row r="57" spans="1:13" ht="13.5" x14ac:dyDescent="0.15">
      <c r="A57" s="62"/>
      <c r="B57" s="62"/>
      <c r="C57" s="61"/>
      <c r="D57" s="61"/>
      <c r="E57" s="61"/>
      <c r="F57" s="63"/>
      <c r="G57" s="66"/>
      <c r="H57" s="61"/>
      <c r="I57" s="63"/>
      <c r="J57" s="60"/>
      <c r="K57" s="60"/>
      <c r="L57" s="60"/>
      <c r="M57" s="68"/>
    </row>
    <row r="58" spans="1:13" ht="13.5" x14ac:dyDescent="0.15">
      <c r="A58" s="55" t="s">
        <v>55</v>
      </c>
      <c r="B58" s="55">
        <v>46107</v>
      </c>
      <c r="C58" s="56">
        <v>18</v>
      </c>
      <c r="D58" s="56" t="s">
        <v>38</v>
      </c>
      <c r="E58" s="56" t="s">
        <v>39</v>
      </c>
      <c r="F58" s="57" t="s">
        <v>65</v>
      </c>
      <c r="G58" s="58">
        <v>30</v>
      </c>
      <c r="H58" s="56" t="s">
        <v>166</v>
      </c>
      <c r="I58" s="57">
        <v>46078</v>
      </c>
      <c r="J58" s="59">
        <v>78028.27</v>
      </c>
      <c r="K58" s="59" t="s">
        <v>34</v>
      </c>
      <c r="L58" s="60"/>
      <c r="M58" s="68"/>
    </row>
    <row r="59" spans="1:13" ht="13.5" x14ac:dyDescent="0.15">
      <c r="A59" s="62"/>
      <c r="B59" s="62"/>
      <c r="C59" s="61"/>
      <c r="D59" s="61"/>
      <c r="E59" s="61"/>
      <c r="F59" s="63"/>
      <c r="G59" s="64"/>
      <c r="H59" s="61"/>
      <c r="I59" s="63"/>
      <c r="J59" s="60"/>
      <c r="K59" s="60"/>
      <c r="L59" s="60"/>
      <c r="M59" s="68"/>
    </row>
    <row r="60" spans="1:13" ht="13.5" x14ac:dyDescent="0.15">
      <c r="A60" s="55" t="s">
        <v>44</v>
      </c>
      <c r="B60" s="55">
        <v>45974</v>
      </c>
      <c r="C60" s="56">
        <v>202510045</v>
      </c>
      <c r="D60" s="56" t="s">
        <v>63</v>
      </c>
      <c r="E60" s="56" t="s">
        <v>64</v>
      </c>
      <c r="F60" s="57" t="s">
        <v>65</v>
      </c>
      <c r="G60" s="58">
        <v>15</v>
      </c>
      <c r="H60" s="56" t="s">
        <v>21</v>
      </c>
      <c r="I60" s="57">
        <v>45959</v>
      </c>
      <c r="J60" s="59">
        <v>16896</v>
      </c>
      <c r="K60" s="59" t="s">
        <v>20</v>
      </c>
      <c r="L60" s="60"/>
      <c r="M60" s="68"/>
    </row>
    <row r="61" spans="1:13" ht="13.5" x14ac:dyDescent="0.15">
      <c r="A61" s="55" t="s">
        <v>44</v>
      </c>
      <c r="B61" s="55">
        <v>46003</v>
      </c>
      <c r="C61" s="56">
        <v>202512016</v>
      </c>
      <c r="D61" s="56" t="s">
        <v>63</v>
      </c>
      <c r="E61" s="56" t="s">
        <v>64</v>
      </c>
      <c r="F61" s="57" t="s">
        <v>65</v>
      </c>
      <c r="G61" s="65" t="s">
        <v>78</v>
      </c>
      <c r="H61" s="56" t="s">
        <v>21</v>
      </c>
      <c r="I61" s="57">
        <v>45959</v>
      </c>
      <c r="J61" s="59">
        <v>337.92</v>
      </c>
      <c r="K61" s="59" t="s">
        <v>20</v>
      </c>
      <c r="L61" s="60"/>
      <c r="M61" s="68"/>
    </row>
    <row r="62" spans="1:13" ht="13.5" x14ac:dyDescent="0.15">
      <c r="A62" s="62"/>
      <c r="B62" s="62"/>
      <c r="C62" s="61"/>
      <c r="D62" s="61"/>
      <c r="E62" s="61"/>
      <c r="F62" s="63"/>
      <c r="G62" s="66"/>
      <c r="H62" s="61"/>
      <c r="I62" s="63"/>
      <c r="J62" s="60"/>
      <c r="K62" s="60"/>
      <c r="L62" s="60"/>
      <c r="M62" s="68"/>
    </row>
    <row r="63" spans="1:13" ht="13.5" x14ac:dyDescent="0.15">
      <c r="A63" s="62" t="s">
        <v>58</v>
      </c>
      <c r="B63" s="62">
        <v>46113</v>
      </c>
      <c r="C63" s="61">
        <v>202602029</v>
      </c>
      <c r="D63" s="61" t="s">
        <v>73</v>
      </c>
      <c r="E63" s="61" t="s">
        <v>219</v>
      </c>
      <c r="F63" s="63" t="s">
        <v>22</v>
      </c>
      <c r="G63" s="64">
        <v>45</v>
      </c>
      <c r="H63" s="61" t="s">
        <v>43</v>
      </c>
      <c r="I63" s="63">
        <v>46069</v>
      </c>
      <c r="J63" s="60">
        <v>145456.95999999999</v>
      </c>
      <c r="K63" s="60" t="s">
        <v>20</v>
      </c>
      <c r="L63" s="60"/>
      <c r="M63" s="68"/>
    </row>
    <row r="64" spans="1:13" ht="13.5" x14ac:dyDescent="0.15">
      <c r="A64" s="62"/>
      <c r="B64" s="62"/>
      <c r="C64" s="61"/>
      <c r="D64" s="61"/>
      <c r="E64" s="61"/>
      <c r="F64" s="63"/>
      <c r="G64" s="64"/>
      <c r="H64" s="61"/>
      <c r="I64" s="63"/>
      <c r="J64" s="60"/>
      <c r="K64" s="60"/>
      <c r="L64" s="60"/>
      <c r="M64" s="68"/>
    </row>
    <row r="65" spans="1:13" ht="13.5" x14ac:dyDescent="0.15">
      <c r="A65" s="55" t="s">
        <v>55</v>
      </c>
      <c r="B65" s="55">
        <v>46078</v>
      </c>
      <c r="C65" s="56">
        <v>202602055</v>
      </c>
      <c r="D65" s="56" t="s">
        <v>23</v>
      </c>
      <c r="E65" s="56" t="s">
        <v>146</v>
      </c>
      <c r="F65" s="57" t="s">
        <v>19</v>
      </c>
      <c r="G65" s="58">
        <v>21</v>
      </c>
      <c r="H65" s="56" t="s">
        <v>41</v>
      </c>
      <c r="I65" s="57">
        <v>46058</v>
      </c>
      <c r="J65" s="59">
        <v>200</v>
      </c>
      <c r="K65" s="59" t="s">
        <v>20</v>
      </c>
      <c r="L65" s="60"/>
      <c r="M65" s="68" t="s">
        <v>255</v>
      </c>
    </row>
    <row r="66" spans="1:13" ht="13.5" x14ac:dyDescent="0.15">
      <c r="A66" s="55" t="s">
        <v>55</v>
      </c>
      <c r="B66" s="55">
        <v>46101</v>
      </c>
      <c r="C66" s="56">
        <v>202602041</v>
      </c>
      <c r="D66" s="56" t="s">
        <v>23</v>
      </c>
      <c r="E66" s="56" t="s">
        <v>236</v>
      </c>
      <c r="F66" s="57" t="s">
        <v>22</v>
      </c>
      <c r="G66" s="58">
        <v>30</v>
      </c>
      <c r="H66" s="56" t="s">
        <v>237</v>
      </c>
      <c r="I66" s="57">
        <v>46072</v>
      </c>
      <c r="J66" s="59">
        <v>42931.94</v>
      </c>
      <c r="K66" s="59" t="s">
        <v>34</v>
      </c>
      <c r="L66" s="60"/>
      <c r="M66" s="68"/>
    </row>
    <row r="67" spans="1:13" ht="13.5" x14ac:dyDescent="0.15">
      <c r="A67" s="55" t="s">
        <v>55</v>
      </c>
      <c r="B67" s="55">
        <v>46108</v>
      </c>
      <c r="C67" s="56">
        <v>202602051</v>
      </c>
      <c r="D67" s="56" t="s">
        <v>23</v>
      </c>
      <c r="E67" s="56" t="s">
        <v>236</v>
      </c>
      <c r="F67" s="57" t="s">
        <v>22</v>
      </c>
      <c r="G67" s="58">
        <v>30</v>
      </c>
      <c r="H67" s="56" t="s">
        <v>245</v>
      </c>
      <c r="I67" s="57">
        <v>46080</v>
      </c>
      <c r="J67" s="59">
        <v>28800</v>
      </c>
      <c r="K67" s="59" t="s">
        <v>34</v>
      </c>
      <c r="L67" s="60"/>
      <c r="M67" s="68"/>
    </row>
    <row r="68" spans="1:13" ht="13.5" x14ac:dyDescent="0.15">
      <c r="A68" s="55" t="s">
        <v>55</v>
      </c>
      <c r="B68" s="55">
        <v>46108</v>
      </c>
      <c r="C68" s="56">
        <v>202603006</v>
      </c>
      <c r="D68" s="56" t="s">
        <v>23</v>
      </c>
      <c r="E68" s="56" t="s">
        <v>24</v>
      </c>
      <c r="F68" s="57" t="s">
        <v>19</v>
      </c>
      <c r="G68" s="58">
        <v>21</v>
      </c>
      <c r="H68" s="56" t="s">
        <v>25</v>
      </c>
      <c r="I68" s="57">
        <v>46090</v>
      </c>
      <c r="J68" s="59">
        <v>230</v>
      </c>
      <c r="K68" s="59" t="s">
        <v>20</v>
      </c>
      <c r="L68" s="60"/>
      <c r="M68" s="68"/>
    </row>
    <row r="69" spans="1:13" ht="13.5" x14ac:dyDescent="0.15">
      <c r="A69" s="55" t="s">
        <v>55</v>
      </c>
      <c r="B69" s="55">
        <v>46111</v>
      </c>
      <c r="C69" s="56">
        <v>202603020</v>
      </c>
      <c r="D69" s="56" t="s">
        <v>23</v>
      </c>
      <c r="E69" s="56" t="s">
        <v>286</v>
      </c>
      <c r="F69" s="57" t="s">
        <v>19</v>
      </c>
      <c r="G69" s="58">
        <v>21</v>
      </c>
      <c r="H69" s="56" t="s">
        <v>41</v>
      </c>
      <c r="I69" s="57">
        <v>46091</v>
      </c>
      <c r="J69" s="59">
        <v>200</v>
      </c>
      <c r="K69" s="59" t="s">
        <v>20</v>
      </c>
      <c r="L69" s="60"/>
      <c r="M69" s="68"/>
    </row>
    <row r="70" spans="1:13" ht="13.5" x14ac:dyDescent="0.15">
      <c r="A70" s="62" t="s">
        <v>55</v>
      </c>
      <c r="B70" s="62">
        <v>46114</v>
      </c>
      <c r="C70" s="61">
        <v>202603018</v>
      </c>
      <c r="D70" s="61" t="s">
        <v>23</v>
      </c>
      <c r="E70" s="61" t="s">
        <v>49</v>
      </c>
      <c r="F70" s="63" t="s">
        <v>19</v>
      </c>
      <c r="G70" s="64">
        <v>21</v>
      </c>
      <c r="H70" s="61" t="s">
        <v>25</v>
      </c>
      <c r="I70" s="63">
        <v>46094</v>
      </c>
      <c r="J70" s="60">
        <v>220</v>
      </c>
      <c r="K70" s="60" t="s">
        <v>20</v>
      </c>
      <c r="L70" s="60"/>
      <c r="M70" s="68"/>
    </row>
    <row r="71" spans="1:13" ht="13.5" x14ac:dyDescent="0.15">
      <c r="A71" s="62"/>
      <c r="B71" s="62"/>
      <c r="C71" s="61"/>
      <c r="D71" s="61"/>
      <c r="E71" s="61"/>
      <c r="F71" s="63"/>
      <c r="G71" s="64"/>
      <c r="H71" s="61"/>
      <c r="I71" s="63"/>
      <c r="J71" s="60"/>
      <c r="K71" s="60"/>
      <c r="L71" s="60"/>
      <c r="M71" s="68"/>
    </row>
    <row r="72" spans="1:13" ht="13.5" x14ac:dyDescent="0.15">
      <c r="A72" s="55" t="s">
        <v>55</v>
      </c>
      <c r="B72" s="55">
        <v>46057</v>
      </c>
      <c r="C72" s="56">
        <v>202601015</v>
      </c>
      <c r="D72" s="56" t="s">
        <v>26</v>
      </c>
      <c r="E72" s="56" t="s">
        <v>29</v>
      </c>
      <c r="F72" s="57" t="s">
        <v>19</v>
      </c>
      <c r="G72" s="58">
        <v>21</v>
      </c>
      <c r="H72" s="56" t="s">
        <v>25</v>
      </c>
      <c r="I72" s="57">
        <v>46037</v>
      </c>
      <c r="J72" s="59">
        <v>180</v>
      </c>
      <c r="K72" s="59" t="s">
        <v>20</v>
      </c>
      <c r="L72" s="60"/>
      <c r="M72" s="68"/>
    </row>
    <row r="73" spans="1:13" ht="13.5" x14ac:dyDescent="0.15">
      <c r="A73" s="55" t="s">
        <v>55</v>
      </c>
      <c r="B73" s="55">
        <v>46108</v>
      </c>
      <c r="C73" s="56">
        <v>202603007</v>
      </c>
      <c r="D73" s="56" t="s">
        <v>26</v>
      </c>
      <c r="E73" s="56" t="s">
        <v>24</v>
      </c>
      <c r="F73" s="57" t="s">
        <v>19</v>
      </c>
      <c r="G73" s="58">
        <v>21</v>
      </c>
      <c r="H73" s="56" t="s">
        <v>25</v>
      </c>
      <c r="I73" s="57">
        <v>46090</v>
      </c>
      <c r="J73" s="59">
        <v>230</v>
      </c>
      <c r="K73" s="59" t="s">
        <v>20</v>
      </c>
      <c r="L73" s="60"/>
      <c r="M73" s="68"/>
    </row>
    <row r="74" spans="1:13" ht="13.5" x14ac:dyDescent="0.15">
      <c r="A74" s="62" t="s">
        <v>55</v>
      </c>
      <c r="B74" s="62">
        <v>46114</v>
      </c>
      <c r="C74" s="61">
        <v>202603019</v>
      </c>
      <c r="D74" s="61" t="s">
        <v>26</v>
      </c>
      <c r="E74" s="61" t="s">
        <v>49</v>
      </c>
      <c r="F74" s="63" t="s">
        <v>19</v>
      </c>
      <c r="G74" s="64">
        <v>21</v>
      </c>
      <c r="H74" s="61" t="s">
        <v>25</v>
      </c>
      <c r="I74" s="63">
        <v>46094</v>
      </c>
      <c r="J74" s="60">
        <v>220</v>
      </c>
      <c r="K74" s="60" t="s">
        <v>20</v>
      </c>
      <c r="L74" s="60"/>
      <c r="M74" s="68"/>
    </row>
    <row r="75" spans="1:13" ht="13.5" x14ac:dyDescent="0.15">
      <c r="A75" s="62"/>
      <c r="B75" s="62"/>
      <c r="C75" s="61"/>
      <c r="D75" s="61"/>
      <c r="E75" s="61"/>
      <c r="F75" s="63"/>
      <c r="G75" s="64"/>
      <c r="H75" s="61"/>
      <c r="I75" s="63"/>
      <c r="J75" s="60"/>
      <c r="K75" s="60"/>
      <c r="L75" s="60"/>
      <c r="M75" s="68"/>
    </row>
    <row r="76" spans="1:13" ht="13.5" x14ac:dyDescent="0.15">
      <c r="A76" s="55" t="s">
        <v>58</v>
      </c>
      <c r="B76" s="55">
        <v>46045</v>
      </c>
      <c r="C76" s="56">
        <v>202511046</v>
      </c>
      <c r="D76" s="56" t="s">
        <v>76</v>
      </c>
      <c r="E76" s="56" t="s">
        <v>102</v>
      </c>
      <c r="F76" s="57" t="s">
        <v>22</v>
      </c>
      <c r="G76" s="58">
        <v>60</v>
      </c>
      <c r="H76" s="56" t="s">
        <v>103</v>
      </c>
      <c r="I76" s="57">
        <v>45988</v>
      </c>
      <c r="J76" s="59">
        <v>140600</v>
      </c>
      <c r="K76" s="59" t="s">
        <v>20</v>
      </c>
      <c r="L76" s="60"/>
      <c r="M76" s="68"/>
    </row>
    <row r="77" spans="1:13" ht="15" x14ac:dyDescent="0.15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8"/>
    </row>
    <row r="78" spans="1:13" ht="23.25" x14ac:dyDescent="0.15">
      <c r="A78" s="72" t="s">
        <v>84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70"/>
    </row>
    <row r="79" spans="1:13" ht="13.5" x14ac:dyDescent="0.15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70"/>
    </row>
    <row r="80" spans="1:13" ht="13.5" x14ac:dyDescent="0.15">
      <c r="A80" s="62" t="s">
        <v>18</v>
      </c>
      <c r="B80" s="62">
        <v>46101</v>
      </c>
      <c r="C80" s="61">
        <v>202602060</v>
      </c>
      <c r="D80" s="61" t="s">
        <v>271</v>
      </c>
      <c r="E80" s="61" t="s">
        <v>158</v>
      </c>
      <c r="F80" s="63" t="s">
        <v>22</v>
      </c>
      <c r="G80" s="64">
        <v>30</v>
      </c>
      <c r="H80" s="61" t="s">
        <v>272</v>
      </c>
      <c r="I80" s="63">
        <v>46073</v>
      </c>
      <c r="J80" s="60">
        <v>107812.17</v>
      </c>
      <c r="K80" s="60" t="s">
        <v>20</v>
      </c>
      <c r="L80" s="54"/>
      <c r="M80" s="70"/>
    </row>
    <row r="81" spans="1:13" ht="13.5" x14ac:dyDescent="0.15">
      <c r="A81" s="62"/>
      <c r="B81" s="62"/>
      <c r="C81" s="61"/>
      <c r="D81" s="61"/>
      <c r="E81" s="61"/>
      <c r="F81" s="63"/>
      <c r="G81" s="64"/>
      <c r="H81" s="61"/>
      <c r="I81" s="63"/>
      <c r="J81" s="60"/>
      <c r="K81" s="60"/>
      <c r="L81" s="54"/>
      <c r="M81" s="70"/>
    </row>
    <row r="82" spans="1:13" ht="13.5" x14ac:dyDescent="0.15">
      <c r="A82" s="62" t="s">
        <v>18</v>
      </c>
      <c r="B82" s="62">
        <v>46099</v>
      </c>
      <c r="C82" s="61">
        <v>202602043</v>
      </c>
      <c r="D82" s="61" t="s">
        <v>240</v>
      </c>
      <c r="E82" s="61" t="s">
        <v>241</v>
      </c>
      <c r="F82" s="63" t="s">
        <v>22</v>
      </c>
      <c r="G82" s="64">
        <v>30</v>
      </c>
      <c r="H82" s="61" t="s">
        <v>242</v>
      </c>
      <c r="I82" s="63">
        <v>46070</v>
      </c>
      <c r="J82" s="60">
        <v>276856.71999999997</v>
      </c>
      <c r="K82" s="60" t="s">
        <v>20</v>
      </c>
      <c r="L82" s="54"/>
      <c r="M82" s="70"/>
    </row>
    <row r="83" spans="1:13" ht="13.5" x14ac:dyDescent="0.15">
      <c r="A83" s="62"/>
      <c r="B83" s="62"/>
      <c r="C83" s="61"/>
      <c r="D83" s="61"/>
      <c r="E83" s="61"/>
      <c r="F83" s="63"/>
      <c r="G83" s="64"/>
      <c r="H83" s="61"/>
      <c r="I83" s="63"/>
      <c r="J83" s="60"/>
      <c r="K83" s="60"/>
      <c r="L83" s="54"/>
      <c r="M83" s="70"/>
    </row>
    <row r="84" spans="1:13" ht="13.5" x14ac:dyDescent="0.15">
      <c r="A84" s="62" t="s">
        <v>18</v>
      </c>
      <c r="B84" s="62">
        <v>45765</v>
      </c>
      <c r="C84" s="61">
        <v>202506004</v>
      </c>
      <c r="D84" s="61" t="s">
        <v>28</v>
      </c>
      <c r="E84" s="61" t="s">
        <v>45</v>
      </c>
      <c r="F84" s="63" t="s">
        <v>19</v>
      </c>
      <c r="G84" s="64">
        <v>30</v>
      </c>
      <c r="H84" s="61" t="s">
        <v>46</v>
      </c>
      <c r="I84" s="63">
        <v>45737</v>
      </c>
      <c r="J84" s="60">
        <v>12310</v>
      </c>
      <c r="K84" s="60" t="s">
        <v>20</v>
      </c>
      <c r="L84" s="60"/>
      <c r="M84" s="68" t="s">
        <v>317</v>
      </c>
    </row>
    <row r="85" spans="1:13" ht="13.5" x14ac:dyDescent="0.15">
      <c r="A85" s="62" t="s">
        <v>18</v>
      </c>
      <c r="B85" s="62">
        <v>46080</v>
      </c>
      <c r="C85" s="61">
        <v>202601063</v>
      </c>
      <c r="D85" s="61" t="s">
        <v>28</v>
      </c>
      <c r="E85" s="61" t="s">
        <v>162</v>
      </c>
      <c r="F85" s="63" t="s">
        <v>19</v>
      </c>
      <c r="G85" s="64">
        <v>30</v>
      </c>
      <c r="H85" s="61" t="s">
        <v>163</v>
      </c>
      <c r="I85" s="63">
        <v>46052</v>
      </c>
      <c r="J85" s="60">
        <v>104360.81</v>
      </c>
      <c r="K85" s="60" t="s">
        <v>20</v>
      </c>
      <c r="L85" s="60"/>
      <c r="M85" s="68"/>
    </row>
    <row r="86" spans="1:13" ht="13.5" x14ac:dyDescent="0.15">
      <c r="A86" s="62" t="s">
        <v>18</v>
      </c>
      <c r="B86" s="62">
        <v>46080</v>
      </c>
      <c r="C86" s="61">
        <v>202601064</v>
      </c>
      <c r="D86" s="61" t="s">
        <v>28</v>
      </c>
      <c r="E86" s="61" t="s">
        <v>179</v>
      </c>
      <c r="F86" s="63" t="s">
        <v>19</v>
      </c>
      <c r="G86" s="64">
        <v>30</v>
      </c>
      <c r="H86" s="61" t="s">
        <v>163</v>
      </c>
      <c r="I86" s="63">
        <v>46052</v>
      </c>
      <c r="J86" s="60">
        <v>156987.81</v>
      </c>
      <c r="K86" s="60" t="s">
        <v>20</v>
      </c>
      <c r="L86" s="60"/>
      <c r="M86" s="68"/>
    </row>
    <row r="87" spans="1:13" ht="13.5" x14ac:dyDescent="0.15">
      <c r="A87" s="62" t="s">
        <v>18</v>
      </c>
      <c r="B87" s="62">
        <v>46091</v>
      </c>
      <c r="C87" s="61">
        <v>202602020</v>
      </c>
      <c r="D87" s="61" t="s">
        <v>28</v>
      </c>
      <c r="E87" s="61" t="s">
        <v>158</v>
      </c>
      <c r="F87" s="63" t="s">
        <v>22</v>
      </c>
      <c r="G87" s="64">
        <v>30</v>
      </c>
      <c r="H87" s="61" t="s">
        <v>203</v>
      </c>
      <c r="I87" s="63">
        <v>46062</v>
      </c>
      <c r="J87" s="60">
        <v>46604.82</v>
      </c>
      <c r="K87" s="60" t="s">
        <v>20</v>
      </c>
      <c r="L87" s="60"/>
      <c r="M87" s="68"/>
    </row>
    <row r="88" spans="1:13" ht="13.5" x14ac:dyDescent="0.15">
      <c r="A88" s="62" t="s">
        <v>18</v>
      </c>
      <c r="B88" s="62">
        <v>46094</v>
      </c>
      <c r="C88" s="61">
        <v>202602037</v>
      </c>
      <c r="D88" s="61" t="s">
        <v>28</v>
      </c>
      <c r="E88" s="61" t="s">
        <v>234</v>
      </c>
      <c r="F88" s="63" t="s">
        <v>22</v>
      </c>
      <c r="G88" s="64">
        <v>30</v>
      </c>
      <c r="H88" s="61" t="s">
        <v>235</v>
      </c>
      <c r="I88" s="63">
        <v>46066</v>
      </c>
      <c r="J88" s="60">
        <v>143077.1</v>
      </c>
      <c r="K88" s="60" t="s">
        <v>20</v>
      </c>
      <c r="L88" s="60"/>
      <c r="M88" s="68"/>
    </row>
    <row r="89" spans="1:13" ht="13.5" x14ac:dyDescent="0.15">
      <c r="A89" s="62" t="s">
        <v>18</v>
      </c>
      <c r="B89" s="62">
        <v>46094</v>
      </c>
      <c r="C89" s="61">
        <v>202602038</v>
      </c>
      <c r="D89" s="61" t="s">
        <v>28</v>
      </c>
      <c r="E89" s="61" t="s">
        <v>234</v>
      </c>
      <c r="F89" s="63" t="s">
        <v>22</v>
      </c>
      <c r="G89" s="64">
        <v>30</v>
      </c>
      <c r="H89" s="61" t="s">
        <v>235</v>
      </c>
      <c r="I89" s="63">
        <v>46066</v>
      </c>
      <c r="J89" s="60">
        <v>6000</v>
      </c>
      <c r="K89" s="60" t="s">
        <v>20</v>
      </c>
      <c r="L89" s="60"/>
      <c r="M89" s="68"/>
    </row>
    <row r="90" spans="1:13" ht="13.5" x14ac:dyDescent="0.15">
      <c r="A90" s="62" t="s">
        <v>18</v>
      </c>
      <c r="B90" s="62">
        <v>46101</v>
      </c>
      <c r="C90" s="61">
        <v>202602057</v>
      </c>
      <c r="D90" s="61" t="s">
        <v>28</v>
      </c>
      <c r="E90" s="61" t="s">
        <v>261</v>
      </c>
      <c r="F90" s="63" t="s">
        <v>22</v>
      </c>
      <c r="G90" s="64">
        <v>30</v>
      </c>
      <c r="H90" s="61" t="s">
        <v>249</v>
      </c>
      <c r="I90" s="63">
        <v>46074</v>
      </c>
      <c r="J90" s="60">
        <v>258375</v>
      </c>
      <c r="K90" s="60" t="s">
        <v>20</v>
      </c>
      <c r="L90" s="60"/>
      <c r="M90" s="68"/>
    </row>
    <row r="91" spans="1:13" ht="13.5" x14ac:dyDescent="0.15">
      <c r="A91" s="62" t="s">
        <v>18</v>
      </c>
      <c r="B91" s="62">
        <v>46108</v>
      </c>
      <c r="C91" s="61">
        <v>202602056</v>
      </c>
      <c r="D91" s="61" t="s">
        <v>28</v>
      </c>
      <c r="E91" s="61" t="s">
        <v>257</v>
      </c>
      <c r="F91" s="63" t="s">
        <v>22</v>
      </c>
      <c r="G91" s="64">
        <v>30</v>
      </c>
      <c r="H91" s="61" t="s">
        <v>53</v>
      </c>
      <c r="I91" s="63">
        <v>46081</v>
      </c>
      <c r="J91" s="60">
        <v>17842.5</v>
      </c>
      <c r="K91" s="60" t="s">
        <v>20</v>
      </c>
      <c r="L91" s="60"/>
      <c r="M91" s="68"/>
    </row>
    <row r="92" spans="1:13" ht="13.5" x14ac:dyDescent="0.15">
      <c r="A92" s="62" t="s">
        <v>18</v>
      </c>
      <c r="B92" s="62">
        <v>46115</v>
      </c>
      <c r="C92" s="61">
        <v>202603023</v>
      </c>
      <c r="D92" s="61" t="s">
        <v>28</v>
      </c>
      <c r="E92" s="61" t="s">
        <v>287</v>
      </c>
      <c r="F92" s="63" t="s">
        <v>22</v>
      </c>
      <c r="G92" s="64">
        <v>30</v>
      </c>
      <c r="H92" s="61" t="s">
        <v>288</v>
      </c>
      <c r="I92" s="63">
        <v>46086</v>
      </c>
      <c r="J92" s="60">
        <v>61180.95</v>
      </c>
      <c r="K92" s="60" t="s">
        <v>20</v>
      </c>
      <c r="L92" s="60"/>
      <c r="M92" s="68"/>
    </row>
    <row r="93" spans="1:13" ht="13.5" x14ac:dyDescent="0.15">
      <c r="A93" s="62" t="s">
        <v>18</v>
      </c>
      <c r="B93" s="62">
        <v>46115</v>
      </c>
      <c r="C93" s="61">
        <v>202603024</v>
      </c>
      <c r="D93" s="61" t="s">
        <v>28</v>
      </c>
      <c r="E93" s="61" t="s">
        <v>289</v>
      </c>
      <c r="F93" s="63" t="s">
        <v>22</v>
      </c>
      <c r="G93" s="64">
        <v>30</v>
      </c>
      <c r="H93" s="61" t="s">
        <v>288</v>
      </c>
      <c r="I93" s="63">
        <v>46086</v>
      </c>
      <c r="J93" s="60">
        <v>58401.01</v>
      </c>
      <c r="K93" s="60" t="s">
        <v>20</v>
      </c>
      <c r="L93" s="60"/>
      <c r="M93" s="68"/>
    </row>
  </sheetData>
  <autoFilter ref="A1:M1" xr:uid="{A67240A5-CBDA-436A-8ECF-59976759D439}">
    <sortState xmlns:xlrd2="http://schemas.microsoft.com/office/spreadsheetml/2017/richdata2" ref="A2:M61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Sales day book</vt:lpstr>
      <vt:lpstr>Envoi du 30.03</vt:lpstr>
      <vt:lpstr>'Sales day book'!Zone_d_impression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Perrin</dc:creator>
  <cp:lastModifiedBy>Pierre Deyris</cp:lastModifiedBy>
  <cp:lastPrinted>2026-05-11T16:15:49Z</cp:lastPrinted>
  <dcterms:created xsi:type="dcterms:W3CDTF">2025-07-30T11:40:00Z</dcterms:created>
  <dcterms:modified xsi:type="dcterms:W3CDTF">2026-08-25T09:48:36Z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884313CB86E24C1E99679C17ACE1CFEF_12</vt:lpwstr>
  </property>
  <property fmtid="{D5CDD505-2E9C-101B-9397-08002B2CF9AE}" pid="3" name="KSOProductBuildVer">
    <vt:lpwstr>1033-12.2.0.22549</vt:lpwstr>
  </property>
</Properties>
</file>